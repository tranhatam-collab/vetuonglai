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Model" sheetId="3" state="visible" r:id="rId3"/>
    <sheet xmlns:r="http://schemas.openxmlformats.org/officeDocument/2006/relationships" name="Cost &amp; Opex" sheetId="4" state="visible" r:id="rId4"/>
    <sheet xmlns:r="http://schemas.openxmlformats.org/officeDocument/2006/relationships" name="P&amp;L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KPI Summary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Scenari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;(#,##0);&quot;-&quot;"/>
    <numFmt numFmtId="165" formatCode="0.0%;(0.0%);&quot;-&quot;"/>
    <numFmt numFmtId="166" formatCode="$#,##0;($#,##0);&quot;-&quot;"/>
    <numFmt numFmtId="167" formatCode="&quot;$&quot;0.00"/>
    <numFmt numFmtId="168" formatCode="0.0"/>
    <numFmt numFmtId="169" formatCode="&quot;$&quot;#,##0&quot;M&quot;;&quot;($&quot;#,##0&quot;M)&quot;;&quot;-&quot;"/>
    <numFmt numFmtId="170" formatCode="#,##0.0"/>
    <numFmt numFmtId="171" formatCode="0.0&quot;x&quot;"/>
  </numFmts>
  <fonts count="13">
    <font>
      <name val="Calibri"/>
      <family val="2"/>
      <color theme="1"/>
      <sz val="11"/>
      <scheme val="minor"/>
    </font>
    <font>
      <name val="Arial"/>
      <b val="1"/>
      <color rgb="001E2761"/>
      <sz val="20"/>
    </font>
    <font>
      <name val="Arial"/>
      <i val="1"/>
      <color rgb="00555555"/>
      <sz val="14"/>
    </font>
    <font>
      <name val="Arial"/>
      <sz val="10"/>
    </font>
    <font>
      <name val="Arial"/>
      <b val="1"/>
      <color rgb="00C00000"/>
      <sz val="11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E2761"/>
        <bgColor rgb="001E2761"/>
      </patternFill>
    </fill>
    <fill>
      <patternFill patternType="solid">
        <fgColor rgb="00555555"/>
        <bgColor rgb="0055555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0" fontId="9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4" borderId="1" pivotButton="0" quotePrefix="0" xfId="0"/>
    <xf numFmtId="0" fontId="0" fillId="4" borderId="1" pivotButton="0" quotePrefix="0" xfId="0"/>
    <xf numFmtId="164" fontId="6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170" fontId="6" fillId="0" borderId="1" applyAlignment="1" pivotButton="0" quotePrefix="0" xfId="0">
      <alignment horizontal="right" vertical="center"/>
    </xf>
    <xf numFmtId="165" fontId="6" fillId="2" borderId="1" applyAlignment="1" pivotButton="0" quotePrefix="0" xfId="0">
      <alignment horizontal="right" vertical="center"/>
    </xf>
    <xf numFmtId="171" fontId="6" fillId="2" borderId="1" applyAlignment="1" pivotButton="0" quotePrefix="0" xfId="0">
      <alignment horizontal="right" vertical="center"/>
    </xf>
    <xf numFmtId="171" fontId="6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3" fillId="0" borderId="1" pivotButton="0" quotePrefix="0" xfId="0"/>
    <xf numFmtId="0" fontId="11" fillId="0" borderId="1" pivotButton="0" quotePrefix="0" xfId="0"/>
    <xf numFmtId="169" fontId="8" fillId="0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left" vertical="center"/>
    </xf>
    <xf numFmtId="169" fontId="12" fillId="3" borderId="1" applyAlignment="1" pivotButton="0" quotePrefix="0" xfId="0">
      <alignment horizontal="right" vertical="center"/>
    </xf>
    <xf numFmtId="0" fontId="9" fillId="3" borderId="1" pivotButton="0" quotePrefix="0" xfId="0"/>
    <xf numFmtId="169" fontId="7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71" fontId="7" fillId="0" borderId="1" applyAlignment="1" pivotButton="0" quotePrefix="0" xfId="0">
      <alignment horizontal="right" vertical="center"/>
    </xf>
    <xf numFmtId="171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60" customWidth="1" min="3" max="3"/>
  </cols>
  <sheetData>
    <row r="2" ht="28" customHeight="1">
      <c r="B2" s="1" t="inlineStr">
        <is>
          <t>VETUONGLAI ECOSYSTEM</t>
        </is>
      </c>
    </row>
    <row r="3">
      <c r="B3" s="2" t="inlineStr">
        <is>
          <t>5-Year Financial Projections</t>
        </is>
      </c>
    </row>
    <row r="5">
      <c r="B5" s="3" t="inlineStr">
        <is>
          <t>Period: 2026 (Year 1) — 2030 (Year 5)</t>
        </is>
      </c>
    </row>
    <row r="6">
      <c r="B6" s="3" t="inlineStr">
        <is>
          <t>Currency: USD millions unless otherwise noted</t>
        </is>
      </c>
    </row>
    <row r="7">
      <c r="B7" s="3" t="inlineStr">
        <is>
          <t>May 2026</t>
        </is>
      </c>
    </row>
    <row r="9">
      <c r="B9" s="4" t="inlineStr">
        <is>
          <t>STRICTLY CONFIDENTIAL — Authorized recipients only</t>
        </is>
      </c>
    </row>
    <row r="11">
      <c r="B11" s="5" t="inlineStr">
        <is>
          <t>Color legend</t>
        </is>
      </c>
    </row>
    <row r="12">
      <c r="B12" s="6" t="inlineStr">
        <is>
          <t>Blue text</t>
        </is>
      </c>
      <c r="C12" s="3" t="inlineStr">
        <is>
          <t>Hardcoded inputs (change for scenarios)</t>
        </is>
      </c>
    </row>
    <row r="13">
      <c r="B13" s="7" t="inlineStr">
        <is>
          <t>Black text</t>
        </is>
      </c>
      <c r="C13" s="3" t="inlineStr">
        <is>
          <t>All formulas and calculations</t>
        </is>
      </c>
    </row>
    <row r="14">
      <c r="B14" s="8" t="inlineStr">
        <is>
          <t>Green text</t>
        </is>
      </c>
      <c r="C14" s="3" t="inlineStr">
        <is>
          <t>Cross-sheet links</t>
        </is>
      </c>
    </row>
    <row r="15">
      <c r="B15" s="9" t="inlineStr">
        <is>
          <t>Yellow background</t>
        </is>
      </c>
      <c r="C15" s="3" t="inlineStr">
        <is>
          <t>Key assumptions needing attention</t>
        </is>
      </c>
    </row>
    <row r="18">
      <c r="B18" s="5" t="inlineStr">
        <is>
          <t>Sheets in this workbook</t>
        </is>
      </c>
    </row>
    <row r="19">
      <c r="B19" t="inlineStr">
        <is>
          <t xml:space="preserve">  → Assumptions</t>
        </is>
      </c>
    </row>
    <row r="20">
      <c r="B20" t="inlineStr">
        <is>
          <t xml:space="preserve">  → Revenue Model</t>
        </is>
      </c>
    </row>
    <row r="21">
      <c r="B21" t="inlineStr">
        <is>
          <t xml:space="preserve">  → Cost &amp; Opex</t>
        </is>
      </c>
    </row>
    <row r="22">
      <c r="B22" t="inlineStr">
        <is>
          <t xml:space="preserve">  → P&amp;L</t>
        </is>
      </c>
    </row>
    <row r="23">
      <c r="B23" t="inlineStr">
        <is>
          <t xml:space="preserve">  → Cash Flow</t>
        </is>
      </c>
    </row>
    <row r="24">
      <c r="B24" t="inlineStr">
        <is>
          <t xml:space="preserve">  → KPI Summary</t>
        </is>
      </c>
    </row>
    <row r="25">
      <c r="B25" t="inlineStr">
        <is>
          <t xml:space="preserve">  → Valuation</t>
        </is>
      </c>
    </row>
    <row r="26">
      <c r="B26" t="inlineStr">
        <is>
          <t xml:space="preserve">  → Scenarios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0" t="inlineStr">
        <is>
          <t>Vetuonglai 5-Year Financial Projections</t>
        </is>
      </c>
      <c r="B1" s="11" t="n"/>
      <c r="C1" s="11" t="n"/>
      <c r="D1" s="11" t="n"/>
      <c r="E1" s="11" t="n"/>
      <c r="F1" s="11" t="n"/>
      <c r="G1" s="11" t="n"/>
    </row>
    <row r="2">
      <c r="A2" s="12" t="inlineStr">
        <is>
          <t>Year</t>
        </is>
      </c>
      <c r="B2" s="13" t="n">
        <v>2026</v>
      </c>
      <c r="C2" s="13" t="n">
        <v>2027</v>
      </c>
      <c r="D2" s="13" t="n">
        <v>2028</v>
      </c>
      <c r="E2" s="13" t="n">
        <v>2029</v>
      </c>
      <c r="F2" s="13" t="n">
        <v>2030</v>
      </c>
      <c r="G2" s="14" t="n"/>
    </row>
    <row r="3">
      <c r="A3" s="14" t="n"/>
      <c r="B3" s="14" t="n"/>
      <c r="C3" s="14" t="n"/>
      <c r="D3" s="14" t="n"/>
      <c r="E3" s="14" t="n"/>
      <c r="F3" s="14" t="n"/>
      <c r="G3" s="14" t="n"/>
    </row>
    <row r="4">
      <c r="A4" s="15" t="inlineStr">
        <is>
          <t>MEMBER GROWTH</t>
        </is>
      </c>
      <c r="B4" s="16" t="n"/>
      <c r="C4" s="16" t="n"/>
      <c r="D4" s="16" t="n"/>
      <c r="E4" s="16" t="n"/>
      <c r="F4" s="16" t="n"/>
      <c r="G4" s="16" t="n"/>
    </row>
    <row r="5">
      <c r="A5" s="12" t="inlineStr">
        <is>
          <t>Paid members (end of year)</t>
        </is>
      </c>
      <c r="B5" s="17" t="n">
        <v>12000</v>
      </c>
      <c r="C5" s="17" t="n">
        <v>55000</v>
      </c>
      <c r="D5" s="17" t="n">
        <v>220000</v>
      </c>
      <c r="E5" s="17" t="n">
        <v>620000</v>
      </c>
      <c r="F5" s="17" t="n">
        <v>1650000</v>
      </c>
      <c r="G5" s="14" t="n"/>
    </row>
    <row r="6">
      <c r="A6" s="18" t="inlineStr">
        <is>
          <t>Free members (end of year)</t>
        </is>
      </c>
      <c r="B6" s="17" t="n">
        <v>108000</v>
      </c>
      <c r="C6" s="17" t="n">
        <v>495000</v>
      </c>
      <c r="D6" s="17" t="n">
        <v>1980000</v>
      </c>
      <c r="E6" s="17" t="n">
        <v>5580000</v>
      </c>
      <c r="F6" s="17" t="n">
        <v>14850000</v>
      </c>
      <c r="G6" s="14" t="n"/>
    </row>
    <row r="7">
      <c r="A7" s="18" t="inlineStr">
        <is>
          <t>Total members</t>
        </is>
      </c>
      <c r="B7" s="19">
        <f>B5+B6</f>
        <v/>
      </c>
      <c r="C7" s="19">
        <f>C5+C6</f>
        <v/>
      </c>
      <c r="D7" s="19">
        <f>D5+D6</f>
        <v/>
      </c>
      <c r="E7" s="19">
        <f>E5+E6</f>
        <v/>
      </c>
      <c r="F7" s="19">
        <f>F5+F6</f>
        <v/>
      </c>
      <c r="G7" s="14" t="n"/>
    </row>
    <row r="8">
      <c r="A8" s="18" t="inlineStr">
        <is>
          <t>YoY paid member growth</t>
        </is>
      </c>
      <c r="B8" s="19" t="inlineStr">
        <is>
          <t>"-"</t>
        </is>
      </c>
      <c r="C8" s="20">
        <f>C5/B5-1</f>
        <v/>
      </c>
      <c r="D8" s="20">
        <f>D5/C5-1</f>
        <v/>
      </c>
      <c r="E8" s="20">
        <f>E5/D5-1</f>
        <v/>
      </c>
      <c r="F8" s="20">
        <f>F5/E5-1</f>
        <v/>
      </c>
      <c r="G8" s="14" t="n"/>
    </row>
    <row r="9">
      <c r="A9" s="18" t="inlineStr">
        <is>
          <t>Annual churn</t>
        </is>
      </c>
      <c r="B9" s="21" t="n">
        <v>0.18</v>
      </c>
      <c r="C9" s="21" t="n">
        <v>0.15</v>
      </c>
      <c r="D9" s="21" t="n">
        <v>0.12</v>
      </c>
      <c r="E9" s="21" t="n">
        <v>0.1</v>
      </c>
      <c r="F9" s="21" t="n">
        <v>0.09</v>
      </c>
      <c r="G9" s="14" t="n"/>
    </row>
    <row r="10">
      <c r="A10" s="18" t="inlineStr">
        <is>
          <t>Free→paid conversion</t>
        </is>
      </c>
      <c r="B10" s="21" t="n">
        <v>0.05</v>
      </c>
      <c r="C10" s="21" t="n">
        <v>0.07000000000000001</v>
      </c>
      <c r="D10" s="21" t="n">
        <v>0.09</v>
      </c>
      <c r="E10" s="21" t="n">
        <v>0.11</v>
      </c>
      <c r="F10" s="21" t="n">
        <v>0.12</v>
      </c>
      <c r="G10" s="14" t="n"/>
    </row>
    <row r="11">
      <c r="A11" s="14" t="n"/>
      <c r="B11" s="14" t="n"/>
      <c r="C11" s="14" t="n"/>
      <c r="D11" s="14" t="n"/>
      <c r="E11" s="14" t="n"/>
      <c r="F11" s="14" t="n"/>
      <c r="G11" s="14" t="n"/>
    </row>
    <row r="12">
      <c r="A12" s="15" t="inlineStr">
        <is>
          <t>PRICING (USD)</t>
        </is>
      </c>
      <c r="B12" s="16" t="n"/>
      <c r="C12" s="16" t="n"/>
      <c r="D12" s="16" t="n"/>
      <c r="E12" s="16" t="n"/>
      <c r="F12" s="16" t="n"/>
      <c r="G12" s="16" t="n"/>
    </row>
    <row r="13">
      <c r="A13" s="12" t="inlineStr">
        <is>
          <t>Annual Access price</t>
        </is>
      </c>
      <c r="B13" s="22" t="n">
        <v>99</v>
      </c>
      <c r="C13" s="22" t="n">
        <v>104</v>
      </c>
      <c r="D13" s="22" t="n">
        <v>109</v>
      </c>
      <c r="E13" s="22" t="n">
        <v>115</v>
      </c>
      <c r="F13" s="22" t="n">
        <v>121</v>
      </c>
      <c r="G13" s="14" t="n"/>
    </row>
    <row r="14">
      <c r="A14" s="18" t="inlineStr">
        <is>
          <t>Specialist Pack price (avg)</t>
        </is>
      </c>
      <c r="B14" s="22" t="n">
        <v>29</v>
      </c>
      <c r="C14" s="22" t="n">
        <v>31</v>
      </c>
      <c r="D14" s="22" t="n">
        <v>32</v>
      </c>
      <c r="E14" s="22" t="n">
        <v>34</v>
      </c>
      <c r="F14" s="22" t="n">
        <v>36</v>
      </c>
      <c r="G14" s="14" t="n"/>
    </row>
    <row r="15">
      <c r="A15" s="18" t="inlineStr">
        <is>
          <t>AI Tutor price/year</t>
        </is>
      </c>
      <c r="B15" s="22" t="n">
        <v>120</v>
      </c>
      <c r="C15" s="22" t="n">
        <v>126</v>
      </c>
      <c r="D15" s="22" t="n">
        <v>132</v>
      </c>
      <c r="E15" s="22" t="n">
        <v>139</v>
      </c>
      <c r="F15" s="22" t="n">
        <v>146</v>
      </c>
      <c r="G15" s="14" t="n"/>
    </row>
    <row r="16">
      <c r="A16" s="18" t="inlineStr">
        <is>
          <t>B2B Verification API ($/verif)</t>
        </is>
      </c>
      <c r="B16" s="23" t="n">
        <v>0.75</v>
      </c>
      <c r="C16" s="23" t="n">
        <v>0.8</v>
      </c>
      <c r="D16" s="23" t="n">
        <v>0.85</v>
      </c>
      <c r="E16" s="23" t="n">
        <v>0.9</v>
      </c>
      <c r="F16" s="23" t="n">
        <v>0.95</v>
      </c>
      <c r="G16" s="14" t="n"/>
    </row>
    <row r="17">
      <c r="A17" s="18" t="inlineStr">
        <is>
          <t>B2B VC Issuer License/year</t>
        </is>
      </c>
      <c r="B17" s="22" t="n">
        <v>12000</v>
      </c>
      <c r="C17" s="22" t="n">
        <v>12500</v>
      </c>
      <c r="D17" s="22" t="n">
        <v>13000</v>
      </c>
      <c r="E17" s="22" t="n">
        <v>13500</v>
      </c>
      <c r="F17" s="22" t="n">
        <v>14000</v>
      </c>
      <c r="G17" s="14" t="n"/>
    </row>
    <row r="18">
      <c r="A18" s="14" t="n"/>
      <c r="B18" s="14" t="n"/>
      <c r="C18" s="14" t="n"/>
      <c r="D18" s="14" t="n"/>
      <c r="E18" s="14" t="n"/>
      <c r="F18" s="14" t="n"/>
      <c r="G18" s="14" t="n"/>
    </row>
    <row r="19">
      <c r="A19" s="15" t="inlineStr">
        <is>
          <t>TAKE RATES &amp; VOLUME</t>
        </is>
      </c>
      <c r="B19" s="16" t="n"/>
      <c r="C19" s="16" t="n"/>
      <c r="D19" s="16" t="n"/>
      <c r="E19" s="16" t="n"/>
      <c r="F19" s="16" t="n"/>
      <c r="G19" s="16" t="n"/>
    </row>
    <row r="20">
      <c r="A20" s="12" t="inlineStr">
        <is>
          <t>Pack attach rate per paid member/yr</t>
        </is>
      </c>
      <c r="B20" s="24" t="n">
        <v>1.2</v>
      </c>
      <c r="C20" s="24" t="n">
        <v>1.5</v>
      </c>
      <c r="D20" s="24" t="n">
        <v>1.8</v>
      </c>
      <c r="E20" s="24" t="n">
        <v>2</v>
      </c>
      <c r="F20" s="24" t="n">
        <v>2.2</v>
      </c>
      <c r="G20" s="14" t="n"/>
    </row>
    <row r="21">
      <c r="A21" s="18" t="inlineStr">
        <is>
          <t>AI Tutor attach % paid</t>
        </is>
      </c>
      <c r="B21" s="21" t="n">
        <v>0.1</v>
      </c>
      <c r="C21" s="21" t="n">
        <v>0.18</v>
      </c>
      <c r="D21" s="21" t="n">
        <v>0.25</v>
      </c>
      <c r="E21" s="21" t="n">
        <v>0.32</v>
      </c>
      <c r="F21" s="21" t="n">
        <v>0.38</v>
      </c>
      <c r="G21" s="14" t="n"/>
    </row>
    <row r="22">
      <c r="A22" s="18" t="inlineStr">
        <is>
          <t>Job marketplace GMV ($M)</t>
        </is>
      </c>
      <c r="B22" s="25" t="n">
        <v>2</v>
      </c>
      <c r="C22" s="25" t="n">
        <v>12</v>
      </c>
      <c r="D22" s="25" t="n">
        <v>48</v>
      </c>
      <c r="E22" s="25" t="n">
        <v>145</v>
      </c>
      <c r="F22" s="25" t="n">
        <v>360</v>
      </c>
      <c r="G22" s="14" t="n"/>
    </row>
    <row r="23">
      <c r="A23" s="18" t="inlineStr">
        <is>
          <t>Marketplace take rate %</t>
        </is>
      </c>
      <c r="B23" s="21" t="n">
        <v>0.09</v>
      </c>
      <c r="C23" s="21" t="n">
        <v>0.09</v>
      </c>
      <c r="D23" s="21" t="n">
        <v>0.08500000000000001</v>
      </c>
      <c r="E23" s="21" t="n">
        <v>0.08</v>
      </c>
      <c r="F23" s="21" t="n">
        <v>0.08</v>
      </c>
      <c r="G23" s="14" t="n"/>
    </row>
    <row r="24">
      <c r="A24" s="18" t="inlineStr">
        <is>
          <t>Wallet payout volume ($M)</t>
        </is>
      </c>
      <c r="B24" s="25" t="n">
        <v>1</v>
      </c>
      <c r="C24" s="25" t="n">
        <v>8</v>
      </c>
      <c r="D24" s="25" t="n">
        <v>35</v>
      </c>
      <c r="E24" s="25" t="n">
        <v>105</v>
      </c>
      <c r="F24" s="25" t="n">
        <v>250</v>
      </c>
      <c r="G24" s="14" t="n"/>
    </row>
    <row r="25">
      <c r="A25" s="18" t="inlineStr">
        <is>
          <t>Wallet payout fee %</t>
        </is>
      </c>
      <c r="B25" s="21" t="n">
        <v>0.02</v>
      </c>
      <c r="C25" s="21" t="n">
        <v>0.02</v>
      </c>
      <c r="D25" s="21" t="n">
        <v>0.018</v>
      </c>
      <c r="E25" s="21" t="n">
        <v>0.015</v>
      </c>
      <c r="F25" s="21" t="n">
        <v>0.012</v>
      </c>
      <c r="G25" s="14" t="n"/>
    </row>
    <row r="26">
      <c r="A26" s="18" t="inlineStr">
        <is>
          <t>Affiliate revenue ($M)</t>
        </is>
      </c>
      <c r="B26" s="25" t="n">
        <v>0.05</v>
      </c>
      <c r="C26" s="25" t="n">
        <v>0.4</v>
      </c>
      <c r="D26" s="25" t="n">
        <v>1.8</v>
      </c>
      <c r="E26" s="25" t="n">
        <v>5.5</v>
      </c>
      <c r="F26" s="25" t="n">
        <v>13.5</v>
      </c>
      <c r="G26" s="14" t="n"/>
    </row>
    <row r="27">
      <c r="A27" s="18" t="inlineStr">
        <is>
          <t>B2B API verifications (M/year)</t>
        </is>
      </c>
      <c r="B27" s="26" t="n">
        <v>0.5</v>
      </c>
      <c r="C27" s="26" t="n">
        <v>3</v>
      </c>
      <c r="D27" s="26" t="n">
        <v>12</v>
      </c>
      <c r="E27" s="26" t="n">
        <v>35</v>
      </c>
      <c r="F27" s="26" t="n">
        <v>80</v>
      </c>
      <c r="G27" s="14" t="n"/>
    </row>
    <row r="28">
      <c r="A28" s="18" t="inlineStr">
        <is>
          <t>B2B VC Issuer customers</t>
        </is>
      </c>
      <c r="B28" s="17" t="n">
        <v>2</v>
      </c>
      <c r="C28" s="17" t="n">
        <v>12</v>
      </c>
      <c r="D28" s="17" t="n">
        <v>45</v>
      </c>
      <c r="E28" s="17" t="n">
        <v>130</v>
      </c>
      <c r="F28" s="17" t="n">
        <v>320</v>
      </c>
      <c r="G28" s="14" t="n"/>
    </row>
    <row r="29">
      <c r="A29" s="14" t="n"/>
      <c r="B29" s="14" t="n"/>
      <c r="C29" s="14" t="n"/>
      <c r="D29" s="14" t="n"/>
      <c r="E29" s="14" t="n"/>
      <c r="F29" s="14" t="n"/>
      <c r="G29" s="14" t="n"/>
    </row>
    <row r="30">
      <c r="A30" s="15" t="inlineStr">
        <is>
          <t>COST RATIOS</t>
        </is>
      </c>
      <c r="B30" s="16" t="n"/>
      <c r="C30" s="16" t="n"/>
      <c r="D30" s="16" t="n"/>
      <c r="E30" s="16" t="n"/>
      <c r="F30" s="16" t="n"/>
      <c r="G30" s="16" t="n"/>
    </row>
    <row r="31">
      <c r="A31" s="12" t="inlineStr">
        <is>
          <t>Infrastructure cost % of revenue</t>
        </is>
      </c>
      <c r="B31" s="27" t="n">
        <v>0.06</v>
      </c>
      <c r="C31" s="27" t="n">
        <v>0.05</v>
      </c>
      <c r="D31" s="27" t="n">
        <v>0.04</v>
      </c>
      <c r="E31" s="27" t="n">
        <v>0.035</v>
      </c>
      <c r="F31" s="27" t="n">
        <v>0.03</v>
      </c>
      <c r="G31" s="14" t="n"/>
    </row>
    <row r="32">
      <c r="A32" s="18" t="inlineStr">
        <is>
          <t>Payment processing % of revenue</t>
        </is>
      </c>
      <c r="B32" s="21" t="n">
        <v>0.025</v>
      </c>
      <c r="C32" s="21" t="n">
        <v>0.025</v>
      </c>
      <c r="D32" s="21" t="n">
        <v>0.024</v>
      </c>
      <c r="E32" s="21" t="n">
        <v>0.023</v>
      </c>
      <c r="F32" s="21" t="n">
        <v>0.022</v>
      </c>
      <c r="G32" s="14" t="n"/>
    </row>
    <row r="33">
      <c r="A33" s="18" t="inlineStr">
        <is>
          <t>KYC + verification cost % rev</t>
        </is>
      </c>
      <c r="B33" s="21" t="n">
        <v>0.02</v>
      </c>
      <c r="C33" s="21" t="n">
        <v>0.018</v>
      </c>
      <c r="D33" s="21" t="n">
        <v>0.015</v>
      </c>
      <c r="E33" s="21" t="n">
        <v>0.012</v>
      </c>
      <c r="F33" s="21" t="n">
        <v>0.01</v>
      </c>
      <c r="G33" s="14" t="n"/>
    </row>
    <row r="34">
      <c r="A34" s="18" t="inlineStr">
        <is>
          <t>Other COGS % of revenue</t>
        </is>
      </c>
      <c r="B34" s="21" t="n">
        <v>0.175</v>
      </c>
      <c r="C34" s="21" t="n">
        <v>0.147</v>
      </c>
      <c r="D34" s="21" t="n">
        <v>0.141</v>
      </c>
      <c r="E34" s="21" t="n">
        <v>0.13</v>
      </c>
      <c r="F34" s="21" t="n">
        <v>0.128</v>
      </c>
      <c r="G34" s="14" t="n"/>
    </row>
    <row r="35">
      <c r="A35" s="12" t="inlineStr">
        <is>
          <t>Total COGS % (sum above)</t>
        </is>
      </c>
      <c r="B35" s="20">
        <f>B31+B32+B33+B34</f>
        <v/>
      </c>
      <c r="C35" s="20">
        <f>C31+C32+C33+C34</f>
        <v/>
      </c>
      <c r="D35" s="20">
        <f>D31+D32+D33+D34</f>
        <v/>
      </c>
      <c r="E35" s="20">
        <f>E31+E32+E33+E34</f>
        <v/>
      </c>
      <c r="F35" s="20">
        <f>F31+F32+F33+F34</f>
        <v/>
      </c>
      <c r="G35" s="14" t="n"/>
    </row>
    <row r="36">
      <c r="A36" s="18" t="inlineStr">
        <is>
          <t>S&amp;M cost % of revenue</t>
        </is>
      </c>
      <c r="B36" s="21" t="n">
        <v>0.45</v>
      </c>
      <c r="C36" s="21" t="n">
        <v>0.38</v>
      </c>
      <c r="D36" s="21" t="n">
        <v>0.32</v>
      </c>
      <c r="E36" s="21" t="n">
        <v>0.28</v>
      </c>
      <c r="F36" s="21" t="n">
        <v>0.25</v>
      </c>
      <c r="G36" s="14" t="n"/>
    </row>
    <row r="37">
      <c r="A37" s="18" t="inlineStr">
        <is>
          <t>R&amp;D cost % of revenue</t>
        </is>
      </c>
      <c r="B37" s="21" t="n">
        <v>0.35</v>
      </c>
      <c r="C37" s="21" t="n">
        <v>0.28</v>
      </c>
      <c r="D37" s="21" t="n">
        <v>0.22</v>
      </c>
      <c r="E37" s="21" t="n">
        <v>0.18</v>
      </c>
      <c r="F37" s="21" t="n">
        <v>0.15</v>
      </c>
      <c r="G37" s="14" t="n"/>
    </row>
    <row r="38">
      <c r="A38" s="18" t="inlineStr">
        <is>
          <t>G&amp;A cost % of revenue</t>
        </is>
      </c>
      <c r="B38" s="21" t="n">
        <v>0.18</v>
      </c>
      <c r="C38" s="21" t="n">
        <v>0.14</v>
      </c>
      <c r="D38" s="21" t="n">
        <v>0.1</v>
      </c>
      <c r="E38" s="21" t="n">
        <v>0.08</v>
      </c>
      <c r="F38" s="21" t="n">
        <v>0.07000000000000001</v>
      </c>
      <c r="G38" s="14" t="n"/>
    </row>
    <row r="39">
      <c r="A39" s="14" t="n"/>
      <c r="B39" s="14" t="n"/>
      <c r="C39" s="14" t="n"/>
      <c r="D39" s="14" t="n"/>
      <c r="E39" s="14" t="n"/>
      <c r="F39" s="14" t="n"/>
      <c r="G39" s="14" t="n"/>
    </row>
    <row r="40">
      <c r="A40" s="15" t="inlineStr">
        <is>
          <t>MACRO &amp; VALUATION</t>
        </is>
      </c>
      <c r="B40" s="16" t="n"/>
      <c r="C40" s="16" t="n"/>
      <c r="D40" s="16" t="n"/>
      <c r="E40" s="16" t="n"/>
      <c r="F40" s="16" t="n"/>
      <c r="G40" s="16" t="n"/>
    </row>
    <row r="41">
      <c r="A41" s="18" t="inlineStr">
        <is>
          <t>Effective tax rate</t>
        </is>
      </c>
      <c r="B41" s="21" t="n">
        <v>0</v>
      </c>
      <c r="C41" s="21" t="n">
        <v>0</v>
      </c>
      <c r="D41" s="21" t="n">
        <v>0.1</v>
      </c>
      <c r="E41" s="21" t="n">
        <v>0.2</v>
      </c>
      <c r="F41" s="21" t="n">
        <v>0.2</v>
      </c>
      <c r="G41" s="14" t="n"/>
    </row>
    <row r="42">
      <c r="A42" s="18" t="inlineStr">
        <is>
          <t>Discount rate (WACC)</t>
        </is>
      </c>
      <c r="B42" s="21" t="n">
        <v>0.18</v>
      </c>
      <c r="C42" s="14" t="n"/>
      <c r="D42" s="14" t="n"/>
      <c r="E42" s="14" t="n"/>
      <c r="F42" s="14" t="n"/>
      <c r="G42" s="14" t="n"/>
    </row>
    <row r="43">
      <c r="A43" s="12" t="inlineStr">
        <is>
          <t>Revenue multiple (mid)</t>
        </is>
      </c>
      <c r="B43" s="28" t="n">
        <v>10</v>
      </c>
      <c r="C43" s="28" t="n">
        <v>9.5</v>
      </c>
      <c r="D43" s="28" t="n">
        <v>7.5</v>
      </c>
      <c r="E43" s="28" t="n">
        <v>6.3</v>
      </c>
      <c r="F43" s="28" t="n">
        <v>6.3</v>
      </c>
      <c r="G43" s="14" t="n"/>
    </row>
    <row r="44">
      <c r="A44" s="18" t="inlineStr">
        <is>
          <t>EBITDA multiple</t>
        </is>
      </c>
      <c r="B44" s="29" t="n">
        <v>0</v>
      </c>
      <c r="C44" s="29" t="n">
        <v>0</v>
      </c>
      <c r="D44" s="29" t="n">
        <v>25</v>
      </c>
      <c r="E44" s="29" t="n">
        <v>18</v>
      </c>
      <c r="F44" s="29" t="n">
        <v>15</v>
      </c>
      <c r="G44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0" t="inlineStr">
        <is>
          <t>Revenue Model (USD M)</t>
        </is>
      </c>
      <c r="B1" s="11" t="n"/>
      <c r="C1" s="11" t="n"/>
      <c r="D1" s="11" t="n"/>
      <c r="E1" s="11" t="n"/>
      <c r="F1" s="11" t="n"/>
      <c r="G1" s="11" t="n"/>
      <c r="H1" s="11" t="n"/>
    </row>
    <row r="2">
      <c r="A2" s="12" t="inlineStr">
        <is>
          <t>Lane</t>
        </is>
      </c>
      <c r="B2" s="30" t="inlineStr">
        <is>
          <t>Description</t>
        </is>
      </c>
      <c r="C2" s="13" t="n">
        <v>2026</v>
      </c>
      <c r="D2" s="13" t="n">
        <v>2027</v>
      </c>
      <c r="E2" s="13" t="n">
        <v>2028</v>
      </c>
      <c r="F2" s="13" t="n">
        <v>2029</v>
      </c>
      <c r="G2" s="13" t="n">
        <v>2030</v>
      </c>
      <c r="H2" s="14" t="n"/>
    </row>
    <row r="3">
      <c r="A3" s="31" t="inlineStr">
        <is>
          <t>Annual Access subscription</t>
        </is>
      </c>
      <c r="B3" s="32" t="inlineStr">
        <is>
          <t>B2C subscription — Lifetime Unlock</t>
        </is>
      </c>
      <c r="C3" s="33">
        <f>'Assumptions'!B5*'Assumptions'!B13/1000000*0.5</f>
        <v/>
      </c>
      <c r="D3" s="33">
        <f>'Assumptions'!C5*'Assumptions'!C13/1000000*1.0</f>
        <v/>
      </c>
      <c r="E3" s="33">
        <f>'Assumptions'!D5*'Assumptions'!D13/1000000*1.0</f>
        <v/>
      </c>
      <c r="F3" s="33">
        <f>'Assumptions'!E5*'Assumptions'!E13/1000000*1.0</f>
        <v/>
      </c>
      <c r="G3" s="33">
        <f>'Assumptions'!F5*'Assumptions'!F13/1000000*1.0</f>
        <v/>
      </c>
      <c r="H3" s="14" t="n"/>
    </row>
    <row r="4">
      <c r="A4" s="31" t="inlineStr">
        <is>
          <t>Specialist Packs</t>
        </is>
      </c>
      <c r="B4" s="32" t="inlineStr">
        <is>
          <t>B2C one-off purchases</t>
        </is>
      </c>
      <c r="C4" s="33">
        <f>'Assumptions'!B5*'Assumptions'!B20*'Assumptions'!B14/1000000</f>
        <v/>
      </c>
      <c r="D4" s="33">
        <f>'Assumptions'!C5*'Assumptions'!C20*'Assumptions'!C14/1000000</f>
        <v/>
      </c>
      <c r="E4" s="33">
        <f>'Assumptions'!D5*'Assumptions'!D20*'Assumptions'!D14/1000000</f>
        <v/>
      </c>
      <c r="F4" s="33">
        <f>'Assumptions'!E5*'Assumptions'!E20*'Assumptions'!E14/1000000</f>
        <v/>
      </c>
      <c r="G4" s="33">
        <f>'Assumptions'!F5*'Assumptions'!F20*'Assumptions'!F14/1000000</f>
        <v/>
      </c>
      <c r="H4" s="14" t="n"/>
    </row>
    <row r="5">
      <c r="A5" s="31" t="inlineStr">
        <is>
          <t>Job Marketplace take-rate</t>
        </is>
      </c>
      <c r="B5" s="32" t="inlineStr">
        <is>
          <t>Escrow + payout fees</t>
        </is>
      </c>
      <c r="C5" s="33">
        <f>'Assumptions'!B22*'Assumptions'!B23</f>
        <v/>
      </c>
      <c r="D5" s="33">
        <f>'Assumptions'!C22*'Assumptions'!C23</f>
        <v/>
      </c>
      <c r="E5" s="33">
        <f>'Assumptions'!D22*'Assumptions'!D23</f>
        <v/>
      </c>
      <c r="F5" s="33">
        <f>'Assumptions'!E22*'Assumptions'!E23</f>
        <v/>
      </c>
      <c r="G5" s="33">
        <f>'Assumptions'!F22*'Assumptions'!F23</f>
        <v/>
      </c>
      <c r="H5" s="14" t="n"/>
    </row>
    <row r="6">
      <c r="A6" s="31" t="inlineStr">
        <is>
          <t>Wallet payout fees</t>
        </is>
      </c>
      <c r="B6" s="32" t="inlineStr">
        <is>
          <t>Free-tier 2% on withdrawals</t>
        </is>
      </c>
      <c r="C6" s="33">
        <f>'Assumptions'!B24*'Assumptions'!B25</f>
        <v/>
      </c>
      <c r="D6" s="33">
        <f>'Assumptions'!C24*'Assumptions'!C25</f>
        <v/>
      </c>
      <c r="E6" s="33">
        <f>'Assumptions'!D24*'Assumptions'!D25</f>
        <v/>
      </c>
      <c r="F6" s="33">
        <f>'Assumptions'!E24*'Assumptions'!E25</f>
        <v/>
      </c>
      <c r="G6" s="33">
        <f>'Assumptions'!F24*'Assumptions'!F25</f>
        <v/>
      </c>
      <c r="H6" s="14" t="n"/>
    </row>
    <row r="7">
      <c r="A7" s="31" t="inlineStr">
        <is>
          <t>Affiliate revenue share</t>
        </is>
      </c>
      <c r="B7" s="32" t="inlineStr">
        <is>
          <t>Pass-through commissions</t>
        </is>
      </c>
      <c r="C7" s="33">
        <f>'Assumptions'!B26</f>
        <v/>
      </c>
      <c r="D7" s="33">
        <f>'Assumptions'!C26</f>
        <v/>
      </c>
      <c r="E7" s="33">
        <f>'Assumptions'!D26</f>
        <v/>
      </c>
      <c r="F7" s="33">
        <f>'Assumptions'!E26</f>
        <v/>
      </c>
      <c r="G7" s="33">
        <f>'Assumptions'!F26</f>
        <v/>
      </c>
      <c r="H7" s="14" t="n"/>
    </row>
    <row r="8">
      <c r="A8" s="31" t="inlineStr">
        <is>
          <t>B2B Identity Verification API</t>
        </is>
      </c>
      <c r="B8" s="32" t="inlineStr">
        <is>
          <t>Per-verification charges</t>
        </is>
      </c>
      <c r="C8" s="33">
        <f>'Assumptions'!B27*'Assumptions'!B16</f>
        <v/>
      </c>
      <c r="D8" s="33">
        <f>'Assumptions'!C27*'Assumptions'!C16</f>
        <v/>
      </c>
      <c r="E8" s="33">
        <f>'Assumptions'!D27*'Assumptions'!D16</f>
        <v/>
      </c>
      <c r="F8" s="33">
        <f>'Assumptions'!E27*'Assumptions'!E16</f>
        <v/>
      </c>
      <c r="G8" s="33">
        <f>'Assumptions'!F27*'Assumptions'!F16</f>
        <v/>
      </c>
      <c r="H8" s="14" t="n"/>
    </row>
    <row r="9">
      <c r="A9" s="31" t="inlineStr">
        <is>
          <t>B2B VC Issuer Licensing</t>
        </is>
      </c>
      <c r="B9" s="32" t="inlineStr">
        <is>
          <t>Annual licenses for credential issuers</t>
        </is>
      </c>
      <c r="C9" s="33">
        <f>'Assumptions'!B28*'Assumptions'!B17/1000000</f>
        <v/>
      </c>
      <c r="D9" s="33">
        <f>'Assumptions'!C28*'Assumptions'!C17/1000000</f>
        <v/>
      </c>
      <c r="E9" s="33">
        <f>'Assumptions'!D28*'Assumptions'!D17/1000000</f>
        <v/>
      </c>
      <c r="F9" s="33">
        <f>'Assumptions'!E28*'Assumptions'!E17/1000000</f>
        <v/>
      </c>
      <c r="G9" s="33">
        <f>'Assumptions'!F28*'Assumptions'!F17/1000000</f>
        <v/>
      </c>
      <c r="H9" s="14" t="n"/>
    </row>
    <row r="10">
      <c r="A10" s="31" t="inlineStr">
        <is>
          <t>AI Tutor Premium</t>
        </is>
      </c>
      <c r="B10" s="32" t="inlineStr">
        <is>
          <t>Anthropic-powered tutoring</t>
        </is>
      </c>
      <c r="C10" s="33">
        <f>'Assumptions'!B5*'Assumptions'!B21*'Assumptions'!B15/1000000</f>
        <v/>
      </c>
      <c r="D10" s="33">
        <f>'Assumptions'!C5*'Assumptions'!C21*'Assumptions'!C15/1000000</f>
        <v/>
      </c>
      <c r="E10" s="33">
        <f>'Assumptions'!D5*'Assumptions'!D21*'Assumptions'!D15/1000000</f>
        <v/>
      </c>
      <c r="F10" s="33">
        <f>'Assumptions'!E5*'Assumptions'!E21*'Assumptions'!E15/1000000</f>
        <v/>
      </c>
      <c r="G10" s="33">
        <f>'Assumptions'!F5*'Assumptions'!F21*'Assumptions'!F15/1000000</f>
        <v/>
      </c>
      <c r="H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34" t="inlineStr">
        <is>
          <t>Total revenue</t>
        </is>
      </c>
      <c r="B12" s="11" t="n"/>
      <c r="C12" s="35">
        <f>SUM(C3:C10)</f>
        <v/>
      </c>
      <c r="D12" s="35">
        <f>SUM(D3:D10)</f>
        <v/>
      </c>
      <c r="E12" s="35">
        <f>SUM(E3:E10)</f>
        <v/>
      </c>
      <c r="F12" s="35">
        <f>SUM(F3:F10)</f>
        <v/>
      </c>
      <c r="G12" s="35">
        <f>SUM(G3:G10)</f>
        <v/>
      </c>
      <c r="H12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6" t="inlineStr">
        <is>
          <t>Cost &amp; Operating Expense Breakdown</t>
        </is>
      </c>
      <c r="B1" s="11" t="n"/>
      <c r="C1" s="11" t="n"/>
      <c r="D1" s="11" t="n"/>
      <c r="E1" s="11" t="n"/>
      <c r="F1" s="11" t="n"/>
      <c r="G1" s="11" t="n"/>
    </row>
    <row r="2">
      <c r="A2" s="12" t="inlineStr">
        <is>
          <t>Item</t>
        </is>
      </c>
      <c r="B2" s="13" t="n">
        <v>2026</v>
      </c>
      <c r="C2" s="13" t="n">
        <v>2027</v>
      </c>
      <c r="D2" s="13" t="n">
        <v>2028</v>
      </c>
      <c r="E2" s="13" t="n">
        <v>2029</v>
      </c>
      <c r="F2" s="13" t="n">
        <v>2030</v>
      </c>
      <c r="G2" s="14" t="n"/>
    </row>
    <row r="3">
      <c r="A3" s="18" t="inlineStr">
        <is>
          <t>Infrastructure (Cloudflare, KV, monitoring)</t>
        </is>
      </c>
      <c r="B3" s="37">
        <f>'Revenue Model'!C12*'Assumptions'!B35*('Assumptions'!B31/'Assumptions'!B35)</f>
        <v/>
      </c>
      <c r="C3" s="37">
        <f>'Revenue Model'!D12*'Assumptions'!C35*('Assumptions'!C31/'Assumptions'!C35)</f>
        <v/>
      </c>
      <c r="D3" s="37">
        <f>'Revenue Model'!E12*'Assumptions'!D35*('Assumptions'!D31/'Assumptions'!D35)</f>
        <v/>
      </c>
      <c r="E3" s="37">
        <f>'Revenue Model'!F12*'Assumptions'!E35*('Assumptions'!E31/'Assumptions'!E35)</f>
        <v/>
      </c>
      <c r="F3" s="37">
        <f>'Revenue Model'!G12*'Assumptions'!F35*('Assumptions'!F31/'Assumptions'!F35)</f>
        <v/>
      </c>
      <c r="G3" s="14" t="n"/>
    </row>
    <row r="4">
      <c r="A4" s="18" t="inlineStr">
        <is>
          <t>Payment processing (Stripe/PayPal)</t>
        </is>
      </c>
      <c r="B4" s="37">
        <f>'Revenue Model'!C12*'Assumptions'!B32</f>
        <v/>
      </c>
      <c r="C4" s="37">
        <f>'Revenue Model'!D12*'Assumptions'!C32</f>
        <v/>
      </c>
      <c r="D4" s="37">
        <f>'Revenue Model'!E12*'Assumptions'!D32</f>
        <v/>
      </c>
      <c r="E4" s="37">
        <f>'Revenue Model'!F12*'Assumptions'!E32</f>
        <v/>
      </c>
      <c r="F4" s="37">
        <f>'Revenue Model'!G12*'Assumptions'!F32</f>
        <v/>
      </c>
      <c r="G4" s="14" t="n"/>
    </row>
    <row r="5">
      <c r="A5" s="18" t="inlineStr">
        <is>
          <t>KYC + identity verification</t>
        </is>
      </c>
      <c r="B5" s="37">
        <f>'Revenue Model'!C12*'Assumptions'!B33</f>
        <v/>
      </c>
      <c r="C5" s="37">
        <f>'Revenue Model'!D12*'Assumptions'!C33</f>
        <v/>
      </c>
      <c r="D5" s="37">
        <f>'Revenue Model'!E12*'Assumptions'!D33</f>
        <v/>
      </c>
      <c r="E5" s="37">
        <f>'Revenue Model'!F12*'Assumptions'!E33</f>
        <v/>
      </c>
      <c r="F5" s="37">
        <f>'Revenue Model'!G12*'Assumptions'!F33</f>
        <v/>
      </c>
      <c r="G5" s="14" t="n"/>
    </row>
    <row r="6">
      <c r="A6" s="18" t="inlineStr">
        <is>
          <t>Other COGS (support, content, misc)</t>
        </is>
      </c>
      <c r="B6" s="37">
        <f>'Revenue Model'!C12*'Assumptions'!B34</f>
        <v/>
      </c>
      <c r="C6" s="37">
        <f>'Revenue Model'!D12*'Assumptions'!C34</f>
        <v/>
      </c>
      <c r="D6" s="37">
        <f>'Revenue Model'!E12*'Assumptions'!D34</f>
        <v/>
      </c>
      <c r="E6" s="37">
        <f>'Revenue Model'!F12*'Assumptions'!E34</f>
        <v/>
      </c>
      <c r="F6" s="37">
        <f>'Revenue Model'!G12*'Assumptions'!F34</f>
        <v/>
      </c>
      <c r="G6" s="14" t="n"/>
    </row>
    <row r="7">
      <c r="A7" s="34" t="inlineStr">
        <is>
          <t>Total COGS</t>
        </is>
      </c>
      <c r="B7" s="35">
        <f>'Revenue Model'!C12*'Assumptions'!B35</f>
        <v/>
      </c>
      <c r="C7" s="35">
        <f>'Revenue Model'!D12*'Assumptions'!C35</f>
        <v/>
      </c>
      <c r="D7" s="35">
        <f>'Revenue Model'!E12*'Assumptions'!D35</f>
        <v/>
      </c>
      <c r="E7" s="35">
        <f>'Revenue Model'!F12*'Assumptions'!E35</f>
        <v/>
      </c>
      <c r="F7" s="35">
        <f>'Revenue Model'!G12*'Assumptions'!F35</f>
        <v/>
      </c>
      <c r="G7" s="14" t="n"/>
    </row>
    <row r="8">
      <c r="A8" s="18" t="inlineStr">
        <is>
          <t>Sales &amp; Marketing</t>
        </is>
      </c>
      <c r="B8" s="37">
        <f>'Revenue Model'!C12*'Assumptions'!B36</f>
        <v/>
      </c>
      <c r="C8" s="37">
        <f>'Revenue Model'!D12*'Assumptions'!C36</f>
        <v/>
      </c>
      <c r="D8" s="37">
        <f>'Revenue Model'!E12*'Assumptions'!D36</f>
        <v/>
      </c>
      <c r="E8" s="37">
        <f>'Revenue Model'!F12*'Assumptions'!E36</f>
        <v/>
      </c>
      <c r="F8" s="37">
        <f>'Revenue Model'!G12*'Assumptions'!F36</f>
        <v/>
      </c>
      <c r="G8" s="14" t="n"/>
    </row>
    <row r="9">
      <c r="A9" s="18" t="inlineStr">
        <is>
          <t>R&amp;D / Engineering</t>
        </is>
      </c>
      <c r="B9" s="37">
        <f>'Revenue Model'!C12*'Assumptions'!B37</f>
        <v/>
      </c>
      <c r="C9" s="37">
        <f>'Revenue Model'!D12*'Assumptions'!C37</f>
        <v/>
      </c>
      <c r="D9" s="37">
        <f>'Revenue Model'!E12*'Assumptions'!D37</f>
        <v/>
      </c>
      <c r="E9" s="37">
        <f>'Revenue Model'!F12*'Assumptions'!E37</f>
        <v/>
      </c>
      <c r="F9" s="37">
        <f>'Revenue Model'!G12*'Assumptions'!F37</f>
        <v/>
      </c>
      <c r="G9" s="14" t="n"/>
    </row>
    <row r="10">
      <c r="A10" s="18" t="inlineStr">
        <is>
          <t>G&amp;A</t>
        </is>
      </c>
      <c r="B10" s="37">
        <f>'Revenue Model'!C12*'Assumptions'!B38</f>
        <v/>
      </c>
      <c r="C10" s="37">
        <f>'Revenue Model'!D12*'Assumptions'!C38</f>
        <v/>
      </c>
      <c r="D10" s="37">
        <f>'Revenue Model'!E12*'Assumptions'!D38</f>
        <v/>
      </c>
      <c r="E10" s="37">
        <f>'Revenue Model'!F12*'Assumptions'!E38</f>
        <v/>
      </c>
      <c r="F10" s="37">
        <f>'Revenue Model'!G12*'Assumptions'!F38</f>
        <v/>
      </c>
      <c r="G10" s="14" t="n"/>
    </row>
    <row r="11">
      <c r="A11" s="34" t="inlineStr">
        <is>
          <t>Total Operating Expenses</t>
        </is>
      </c>
      <c r="B11" s="35">
        <f>'Revenue Model'!C12*('Assumptions'!B36+'Assumptions'!B37+'Assumptions'!B38)</f>
        <v/>
      </c>
      <c r="C11" s="35">
        <f>'Revenue Model'!D12*('Assumptions'!C36+'Assumptions'!C37+'Assumptions'!C38)</f>
        <v/>
      </c>
      <c r="D11" s="35">
        <f>'Revenue Model'!E12*('Assumptions'!D36+'Assumptions'!D37+'Assumptions'!D38)</f>
        <v/>
      </c>
      <c r="E11" s="35">
        <f>'Revenue Model'!F12*('Assumptions'!E36+'Assumptions'!E37+'Assumptions'!E38)</f>
        <v/>
      </c>
      <c r="F11" s="35">
        <f>'Revenue Model'!G12*('Assumptions'!F36+'Assumptions'!F37+'Assumptions'!F38)</f>
        <v/>
      </c>
      <c r="G11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6" t="inlineStr">
        <is>
          <t>P&amp;L</t>
        </is>
      </c>
      <c r="B1" s="11" t="n"/>
      <c r="C1" s="11" t="n"/>
      <c r="D1" s="11" t="n"/>
      <c r="E1" s="11" t="n"/>
      <c r="F1" s="11" t="n"/>
      <c r="G1" s="11" t="n"/>
    </row>
    <row r="2">
      <c r="A2" s="12" t="inlineStr">
        <is>
          <t>Item</t>
        </is>
      </c>
      <c r="B2" s="13" t="n">
        <v>2026</v>
      </c>
      <c r="C2" s="13" t="n">
        <v>2027</v>
      </c>
      <c r="D2" s="13" t="n">
        <v>2028</v>
      </c>
      <c r="E2" s="13" t="n">
        <v>2029</v>
      </c>
      <c r="F2" s="13" t="n">
        <v>2030</v>
      </c>
      <c r="G2" s="14" t="n"/>
    </row>
    <row r="3">
      <c r="A3" s="12" t="inlineStr">
        <is>
          <t>Revenue</t>
        </is>
      </c>
      <c r="B3" s="33">
        <f>'Revenue Model'!C12</f>
        <v/>
      </c>
      <c r="C3" s="33">
        <f>'Revenue Model'!D12</f>
        <v/>
      </c>
      <c r="D3" s="33">
        <f>'Revenue Model'!E12</f>
        <v/>
      </c>
      <c r="E3" s="33">
        <f>'Revenue Model'!F12</f>
        <v/>
      </c>
      <c r="F3" s="33">
        <f>'Revenue Model'!G12</f>
        <v/>
      </c>
      <c r="G3" s="14" t="n"/>
    </row>
    <row r="4">
      <c r="A4" s="18" t="inlineStr">
        <is>
          <t>COGS (infra + payments + KYC)</t>
        </is>
      </c>
      <c r="B4" s="37">
        <f>B3*'Assumptions'!B35</f>
        <v/>
      </c>
      <c r="C4" s="37">
        <f>C3*'Assumptions'!C35</f>
        <v/>
      </c>
      <c r="D4" s="37">
        <f>D3*'Assumptions'!D35</f>
        <v/>
      </c>
      <c r="E4" s="37">
        <f>E3*'Assumptions'!E35</f>
        <v/>
      </c>
      <c r="F4" s="37">
        <f>F3*'Assumptions'!F35</f>
        <v/>
      </c>
      <c r="G4" s="14" t="n"/>
    </row>
    <row r="5">
      <c r="A5" s="12" t="inlineStr">
        <is>
          <t>Gross profit</t>
        </is>
      </c>
      <c r="B5" s="37">
        <f>B3-B4</f>
        <v/>
      </c>
      <c r="C5" s="37">
        <f>C3-C4</f>
        <v/>
      </c>
      <c r="D5" s="37">
        <f>D3-D4</f>
        <v/>
      </c>
      <c r="E5" s="37">
        <f>E3-E4</f>
        <v/>
      </c>
      <c r="F5" s="37">
        <f>F3-F4</f>
        <v/>
      </c>
      <c r="G5" s="14" t="n"/>
    </row>
    <row r="6">
      <c r="A6" s="18" t="inlineStr">
        <is>
          <t>Gross margin %</t>
        </is>
      </c>
      <c r="B6" s="20">
        <f>IF(B3=0,0,B5/B3)</f>
        <v/>
      </c>
      <c r="C6" s="20">
        <f>IF(C3=0,0,C5/C3)</f>
        <v/>
      </c>
      <c r="D6" s="20">
        <f>IF(D3=0,0,D5/D3)</f>
        <v/>
      </c>
      <c r="E6" s="20">
        <f>IF(E3=0,0,E5/E3)</f>
        <v/>
      </c>
      <c r="F6" s="20">
        <f>IF(F3=0,0,F5/F3)</f>
        <v/>
      </c>
      <c r="G6" s="14" t="n"/>
    </row>
    <row r="7">
      <c r="A7" s="18" t="inlineStr">
        <is>
          <t>Sales &amp; Marketing</t>
        </is>
      </c>
      <c r="B7" s="37">
        <f>B3*'Assumptions'!B36</f>
        <v/>
      </c>
      <c r="C7" s="37">
        <f>C3*'Assumptions'!C36</f>
        <v/>
      </c>
      <c r="D7" s="37">
        <f>D3*'Assumptions'!D36</f>
        <v/>
      </c>
      <c r="E7" s="37">
        <f>E3*'Assumptions'!E36</f>
        <v/>
      </c>
      <c r="F7" s="37">
        <f>F3*'Assumptions'!F36</f>
        <v/>
      </c>
      <c r="G7" s="14" t="n"/>
    </row>
    <row r="8">
      <c r="A8" s="18" t="inlineStr">
        <is>
          <t>R&amp;D / Engineering</t>
        </is>
      </c>
      <c r="B8" s="37">
        <f>B3*'Assumptions'!B37</f>
        <v/>
      </c>
      <c r="C8" s="37">
        <f>C3*'Assumptions'!C37</f>
        <v/>
      </c>
      <c r="D8" s="37">
        <f>D3*'Assumptions'!D37</f>
        <v/>
      </c>
      <c r="E8" s="37">
        <f>E3*'Assumptions'!E37</f>
        <v/>
      </c>
      <c r="F8" s="37">
        <f>F3*'Assumptions'!F37</f>
        <v/>
      </c>
      <c r="G8" s="14" t="n"/>
    </row>
    <row r="9">
      <c r="A9" s="18" t="inlineStr">
        <is>
          <t>G&amp;A</t>
        </is>
      </c>
      <c r="B9" s="37">
        <f>B3*'Assumptions'!B38</f>
        <v/>
      </c>
      <c r="C9" s="37">
        <f>C3*'Assumptions'!C38</f>
        <v/>
      </c>
      <c r="D9" s="37">
        <f>D3*'Assumptions'!D38</f>
        <v/>
      </c>
      <c r="E9" s="37">
        <f>E3*'Assumptions'!E38</f>
        <v/>
      </c>
      <c r="F9" s="37">
        <f>F3*'Assumptions'!F38</f>
        <v/>
      </c>
      <c r="G9" s="14" t="n"/>
    </row>
    <row r="10">
      <c r="A10" s="12" t="inlineStr">
        <is>
          <t>Total Opex</t>
        </is>
      </c>
      <c r="B10" s="37">
        <f>B7+B8+B9</f>
        <v/>
      </c>
      <c r="C10" s="37">
        <f>C7+C8+C9</f>
        <v/>
      </c>
      <c r="D10" s="37">
        <f>D7+D8+D9</f>
        <v/>
      </c>
      <c r="E10" s="37">
        <f>E7+E8+E9</f>
        <v/>
      </c>
      <c r="F10" s="37">
        <f>F7+F8+F9</f>
        <v/>
      </c>
      <c r="G10" s="14" t="n"/>
    </row>
    <row r="11">
      <c r="A11" s="34" t="inlineStr">
        <is>
          <t>EBITDA</t>
        </is>
      </c>
      <c r="B11" s="35">
        <f>B5-B10</f>
        <v/>
      </c>
      <c r="C11" s="35">
        <f>C5-C10</f>
        <v/>
      </c>
      <c r="D11" s="35">
        <f>D5-D10</f>
        <v/>
      </c>
      <c r="E11" s="35">
        <f>E5-E10</f>
        <v/>
      </c>
      <c r="F11" s="35">
        <f>F5-F10</f>
        <v/>
      </c>
      <c r="G11" s="14" t="n"/>
    </row>
    <row r="12">
      <c r="A12" s="18" t="inlineStr">
        <is>
          <t>EBITDA margin %</t>
        </is>
      </c>
      <c r="B12" s="20">
        <f>IF(B3=0,0,B11/B3)</f>
        <v/>
      </c>
      <c r="C12" s="20">
        <f>IF(C3=0,0,C11/C3)</f>
        <v/>
      </c>
      <c r="D12" s="20">
        <f>IF(D3=0,0,D11/D3)</f>
        <v/>
      </c>
      <c r="E12" s="20">
        <f>IF(E3=0,0,E11/E3)</f>
        <v/>
      </c>
      <c r="F12" s="20">
        <f>IF(F3=0,0,F11/F3)</f>
        <v/>
      </c>
      <c r="G12" s="14" t="n"/>
    </row>
    <row r="13">
      <c r="A13" s="18" t="inlineStr">
        <is>
          <t>Depreciation &amp; Amortization</t>
        </is>
      </c>
      <c r="B13" s="25" t="n">
        <v>0.02</v>
      </c>
      <c r="C13" s="25" t="n">
        <v>0.05</v>
      </c>
      <c r="D13" s="25" t="n">
        <v>0.15</v>
      </c>
      <c r="E13" s="25" t="n">
        <v>0.4</v>
      </c>
      <c r="F13" s="25" t="n">
        <v>0.9</v>
      </c>
      <c r="G13" s="14" t="n"/>
    </row>
    <row r="14">
      <c r="A14" s="12" t="inlineStr">
        <is>
          <t>EBIT</t>
        </is>
      </c>
      <c r="B14" s="37">
        <f>B11-B13</f>
        <v/>
      </c>
      <c r="C14" s="37">
        <f>C11-C13</f>
        <v/>
      </c>
      <c r="D14" s="37">
        <f>D11-D13</f>
        <v/>
      </c>
      <c r="E14" s="37">
        <f>E11-E13</f>
        <v/>
      </c>
      <c r="F14" s="37">
        <f>F11-F13</f>
        <v/>
      </c>
      <c r="G14" s="14" t="n"/>
    </row>
    <row r="15">
      <c r="A15" s="18" t="inlineStr">
        <is>
          <t>Interest expense</t>
        </is>
      </c>
      <c r="B15" s="25" t="n">
        <v>0</v>
      </c>
      <c r="C15" s="25" t="n">
        <v>0</v>
      </c>
      <c r="D15" s="25" t="n">
        <v>0</v>
      </c>
      <c r="E15" s="25" t="n">
        <v>0</v>
      </c>
      <c r="F15" s="25" t="n">
        <v>0</v>
      </c>
      <c r="G15" s="14" t="n"/>
    </row>
    <row r="16">
      <c r="A16" s="18" t="inlineStr">
        <is>
          <t>Tax</t>
        </is>
      </c>
      <c r="B16" s="37">
        <f>MAX(0,B14-B15)*'Assumptions'!B41</f>
        <v/>
      </c>
      <c r="C16" s="37">
        <f>MAX(0,C14-C15)*'Assumptions'!C41</f>
        <v/>
      </c>
      <c r="D16" s="37">
        <f>MAX(0,D14-D15)*'Assumptions'!D41</f>
        <v/>
      </c>
      <c r="E16" s="37">
        <f>MAX(0,E14-E15)*'Assumptions'!E41</f>
        <v/>
      </c>
      <c r="F16" s="37">
        <f>MAX(0,F14-F15)*'Assumptions'!F41</f>
        <v/>
      </c>
      <c r="G16" s="14" t="n"/>
    </row>
    <row r="17">
      <c r="A17" s="34" t="inlineStr">
        <is>
          <t>Net Income</t>
        </is>
      </c>
      <c r="B17" s="35">
        <f>B14-B15-B16</f>
        <v/>
      </c>
      <c r="C17" s="35">
        <f>C14-C15-C16</f>
        <v/>
      </c>
      <c r="D17" s="35">
        <f>D14-D15-D16</f>
        <v/>
      </c>
      <c r="E17" s="35">
        <f>E14-E15-E16</f>
        <v/>
      </c>
      <c r="F17" s="35">
        <f>F14-F15-F16</f>
        <v/>
      </c>
      <c r="G17" s="14" t="n"/>
    </row>
    <row r="18">
      <c r="A18" s="18" t="inlineStr">
        <is>
          <t>Net margin %</t>
        </is>
      </c>
      <c r="B18" s="20">
        <f>IF(B3=0,0,B17/B3)</f>
        <v/>
      </c>
      <c r="C18" s="20">
        <f>IF(C3=0,0,C17/C3)</f>
        <v/>
      </c>
      <c r="D18" s="20">
        <f>IF(D3=0,0,D17/D3)</f>
        <v/>
      </c>
      <c r="E18" s="20">
        <f>IF(E3=0,0,E17/E3)</f>
        <v/>
      </c>
      <c r="F18" s="20">
        <f>IF(F3=0,0,F17/F3)</f>
        <v/>
      </c>
      <c r="G18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6" t="inlineStr">
        <is>
          <t>Cash Flow Statement</t>
        </is>
      </c>
      <c r="B1" s="11" t="n"/>
      <c r="C1" s="11" t="n"/>
      <c r="D1" s="11" t="n"/>
      <c r="E1" s="11" t="n"/>
      <c r="F1" s="11" t="n"/>
      <c r="G1" s="11" t="n"/>
    </row>
    <row r="2">
      <c r="A2" s="12" t="inlineStr">
        <is>
          <t>Item</t>
        </is>
      </c>
      <c r="B2" s="13" t="n">
        <v>2026</v>
      </c>
      <c r="C2" s="13" t="n">
        <v>2027</v>
      </c>
      <c r="D2" s="13" t="n">
        <v>2028</v>
      </c>
      <c r="E2" s="13" t="n">
        <v>2029</v>
      </c>
      <c r="F2" s="13" t="n">
        <v>2030</v>
      </c>
      <c r="G2" s="14" t="n"/>
    </row>
    <row r="3">
      <c r="A3" s="12" t="inlineStr">
        <is>
          <t>Net Income</t>
        </is>
      </c>
      <c r="B3" s="33">
        <f>'P&amp;L'!B17</f>
        <v/>
      </c>
      <c r="C3" s="33">
        <f>'P&amp;L'!C17</f>
        <v/>
      </c>
      <c r="D3" s="33">
        <f>'P&amp;L'!D17</f>
        <v/>
      </c>
      <c r="E3" s="33">
        <f>'P&amp;L'!E17</f>
        <v/>
      </c>
      <c r="F3" s="33">
        <f>'P&amp;L'!F17</f>
        <v/>
      </c>
      <c r="G3" s="14" t="n"/>
    </row>
    <row r="4">
      <c r="A4" s="18" t="inlineStr">
        <is>
          <t>+ D&amp;A</t>
        </is>
      </c>
      <c r="B4" s="33">
        <f>'P&amp;L'!B13</f>
        <v/>
      </c>
      <c r="C4" s="33">
        <f>'P&amp;L'!C13</f>
        <v/>
      </c>
      <c r="D4" s="33">
        <f>'P&amp;L'!D13</f>
        <v/>
      </c>
      <c r="E4" s="33">
        <f>'P&amp;L'!E13</f>
        <v/>
      </c>
      <c r="F4" s="33">
        <f>'P&amp;L'!F13</f>
        <v/>
      </c>
      <c r="G4" s="14" t="n"/>
    </row>
    <row r="5">
      <c r="A5" s="18" t="inlineStr">
        <is>
          <t>+ Changes in working capital</t>
        </is>
      </c>
      <c r="B5" s="25" t="n">
        <v>-0.04</v>
      </c>
      <c r="C5" s="37">
        <f>-('Revenue Model'!D12-'Revenue Model'!C12)*0.05</f>
        <v/>
      </c>
      <c r="D5" s="37">
        <f>-('Revenue Model'!E12-'Revenue Model'!D12)*0.05</f>
        <v/>
      </c>
      <c r="E5" s="37">
        <f>-('Revenue Model'!F12-'Revenue Model'!E12)*0.05</f>
        <v/>
      </c>
      <c r="F5" s="37">
        <f>-('Revenue Model'!G12-'Revenue Model'!F12)*0.05</f>
        <v/>
      </c>
      <c r="G5" s="14" t="n"/>
    </row>
    <row r="6">
      <c r="A6" s="12" t="inlineStr">
        <is>
          <t>Cash from operations</t>
        </is>
      </c>
      <c r="B6" s="37">
        <f>B3+B4+B5</f>
        <v/>
      </c>
      <c r="C6" s="37">
        <f>C3+C4+C5</f>
        <v/>
      </c>
      <c r="D6" s="37">
        <f>D3+D4+D5</f>
        <v/>
      </c>
      <c r="E6" s="37">
        <f>E3+E4+E5</f>
        <v/>
      </c>
      <c r="F6" s="37">
        <f>F3+F4+F5</f>
        <v/>
      </c>
      <c r="G6" s="14" t="n"/>
    </row>
    <row r="7">
      <c r="A7" s="18" t="inlineStr">
        <is>
          <t>CapEx</t>
        </is>
      </c>
      <c r="B7" s="25" t="n">
        <v>-0.1</v>
      </c>
      <c r="C7" s="25" t="n">
        <v>-0.3</v>
      </c>
      <c r="D7" s="25" t="n">
        <v>-0.8</v>
      </c>
      <c r="E7" s="25" t="n">
        <v>-2</v>
      </c>
      <c r="F7" s="25" t="n">
        <v>-4.5</v>
      </c>
      <c r="G7" s="14" t="n"/>
    </row>
    <row r="8">
      <c r="A8" s="18" t="inlineStr">
        <is>
          <t>Cash from investing</t>
        </is>
      </c>
      <c r="B8" s="37">
        <f>B7</f>
        <v/>
      </c>
      <c r="C8" s="37">
        <f>C7</f>
        <v/>
      </c>
      <c r="D8" s="37">
        <f>D7</f>
        <v/>
      </c>
      <c r="E8" s="37">
        <f>E7</f>
        <v/>
      </c>
      <c r="F8" s="37">
        <f>F7</f>
        <v/>
      </c>
      <c r="G8" s="14" t="n"/>
    </row>
    <row r="9">
      <c r="A9" s="18" t="inlineStr">
        <is>
          <t>Equity raises</t>
        </is>
      </c>
      <c r="B9" s="25" t="n">
        <v>3</v>
      </c>
      <c r="C9" s="25" t="n">
        <v>0</v>
      </c>
      <c r="D9" s="25" t="n">
        <v>12</v>
      </c>
      <c r="E9" s="25" t="n">
        <v>0</v>
      </c>
      <c r="F9" s="25" t="n">
        <v>0</v>
      </c>
      <c r="G9" s="14" t="n"/>
    </row>
    <row r="10">
      <c r="A10" s="18" t="inlineStr">
        <is>
          <t>Cash from financing</t>
        </is>
      </c>
      <c r="B10" s="37">
        <f>B9</f>
        <v/>
      </c>
      <c r="C10" s="37">
        <f>C9</f>
        <v/>
      </c>
      <c r="D10" s="37">
        <f>D9</f>
        <v/>
      </c>
      <c r="E10" s="37">
        <f>E9</f>
        <v/>
      </c>
      <c r="F10" s="37">
        <f>F9</f>
        <v/>
      </c>
      <c r="G10" s="14" t="n"/>
    </row>
    <row r="11">
      <c r="A11" s="12" t="inlineStr">
        <is>
          <t>Net change in cash</t>
        </is>
      </c>
      <c r="B11" s="37">
        <f>B6+B8+B10</f>
        <v/>
      </c>
      <c r="C11" s="37">
        <f>C6+C8+C10</f>
        <v/>
      </c>
      <c r="D11" s="37">
        <f>D6+D8+D10</f>
        <v/>
      </c>
      <c r="E11" s="37">
        <f>E6+E8+E10</f>
        <v/>
      </c>
      <c r="F11" s="37">
        <f>F6+F8+F10</f>
        <v/>
      </c>
      <c r="G11" s="14" t="n"/>
    </row>
    <row r="12">
      <c r="A12" s="18" t="inlineStr">
        <is>
          <t>Beginning cash</t>
        </is>
      </c>
      <c r="B12" s="25" t="n">
        <v>0.2</v>
      </c>
      <c r="C12" s="37">
        <f>B13</f>
        <v/>
      </c>
      <c r="D12" s="37">
        <f>C13</f>
        <v/>
      </c>
      <c r="E12" s="37">
        <f>D13</f>
        <v/>
      </c>
      <c r="F12" s="37">
        <f>E13</f>
        <v/>
      </c>
      <c r="G12" s="14" t="n"/>
    </row>
    <row r="13">
      <c r="A13" s="34" t="inlineStr">
        <is>
          <t>Ending cash</t>
        </is>
      </c>
      <c r="B13" s="35">
        <f>B12+B11</f>
        <v/>
      </c>
      <c r="C13" s="35">
        <f>C12+C11</f>
        <v/>
      </c>
      <c r="D13" s="35">
        <f>D12+D11</f>
        <v/>
      </c>
      <c r="E13" s="35">
        <f>E12+E11</f>
        <v/>
      </c>
      <c r="F13" s="35">
        <f>F12+F11</f>
        <v/>
      </c>
      <c r="G13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6" t="inlineStr">
        <is>
          <t>KPI Summary</t>
        </is>
      </c>
      <c r="B1" s="11" t="n"/>
      <c r="C1" s="11" t="n"/>
      <c r="D1" s="11" t="n"/>
      <c r="E1" s="11" t="n"/>
      <c r="F1" s="11" t="n"/>
      <c r="G1" s="11" t="n"/>
    </row>
    <row r="2">
      <c r="A2" s="12" t="inlineStr">
        <is>
          <t>Metric</t>
        </is>
      </c>
      <c r="B2" s="13" t="n">
        <v>2026</v>
      </c>
      <c r="C2" s="13" t="n">
        <v>2027</v>
      </c>
      <c r="D2" s="13" t="n">
        <v>2028</v>
      </c>
      <c r="E2" s="13" t="n">
        <v>2029</v>
      </c>
      <c r="F2" s="13" t="n">
        <v>2030</v>
      </c>
      <c r="G2" s="14" t="n"/>
    </row>
    <row r="3">
      <c r="A3" s="12" t="inlineStr">
        <is>
          <t>Paid members (end of year)</t>
        </is>
      </c>
      <c r="B3" s="38">
        <f>'Assumptions'!B5</f>
        <v/>
      </c>
      <c r="C3" s="38">
        <f>'Assumptions'!C5</f>
        <v/>
      </c>
      <c r="D3" s="38">
        <f>'Assumptions'!D5</f>
        <v/>
      </c>
      <c r="E3" s="38">
        <f>'Assumptions'!E5</f>
        <v/>
      </c>
      <c r="F3" s="38">
        <f>'Assumptions'!F5</f>
        <v/>
      </c>
      <c r="G3" s="14" t="n"/>
    </row>
    <row r="4">
      <c r="A4" s="18" t="inlineStr">
        <is>
          <t>Free members (end of year)</t>
        </is>
      </c>
      <c r="B4" s="38">
        <f>'Assumptions'!B6</f>
        <v/>
      </c>
      <c r="C4" s="38">
        <f>'Assumptions'!C6</f>
        <v/>
      </c>
      <c r="D4" s="38">
        <f>'Assumptions'!D6</f>
        <v/>
      </c>
      <c r="E4" s="38">
        <f>'Assumptions'!E6</f>
        <v/>
      </c>
      <c r="F4" s="38">
        <f>'Assumptions'!F6</f>
        <v/>
      </c>
      <c r="G4" s="14" t="n"/>
    </row>
    <row r="5">
      <c r="A5" s="18" t="inlineStr">
        <is>
          <t>Total members</t>
        </is>
      </c>
      <c r="B5" s="38">
        <f>'Assumptions'!B5+'Assumptions'!B6</f>
        <v/>
      </c>
      <c r="C5" s="38">
        <f>'Assumptions'!C5+'Assumptions'!C6</f>
        <v/>
      </c>
      <c r="D5" s="38">
        <f>'Assumptions'!D5+'Assumptions'!D6</f>
        <v/>
      </c>
      <c r="E5" s="38">
        <f>'Assumptions'!E5+'Assumptions'!E6</f>
        <v/>
      </c>
      <c r="F5" s="38">
        <f>'Assumptions'!F5+'Assumptions'!F6</f>
        <v/>
      </c>
      <c r="G5" s="14" t="n"/>
    </row>
    <row r="6">
      <c r="A6" s="12" t="inlineStr">
        <is>
          <t>ARPU paid (USD)</t>
        </is>
      </c>
      <c r="B6" s="39">
        <f>IF('Assumptions'!B5=0,0,'Revenue Model'!C12*1000000/'Assumptions'!B5)</f>
        <v/>
      </c>
      <c r="C6" s="39">
        <f>IF('Assumptions'!C5=0,0,'Revenue Model'!D12*1000000/'Assumptions'!C5)</f>
        <v/>
      </c>
      <c r="D6" s="39">
        <f>IF('Assumptions'!D5=0,0,'Revenue Model'!E12*1000000/'Assumptions'!D5)</f>
        <v/>
      </c>
      <c r="E6" s="39">
        <f>IF('Assumptions'!E5=0,0,'Revenue Model'!F12*1000000/'Assumptions'!E5)</f>
        <v/>
      </c>
      <c r="F6" s="39">
        <f>IF('Assumptions'!F5=0,0,'Revenue Model'!G12*1000000/'Assumptions'!F5)</f>
        <v/>
      </c>
      <c r="G6" s="14" t="n"/>
    </row>
    <row r="7">
      <c r="A7" s="18" t="inlineStr">
        <is>
          <t>Free→paid conversion</t>
        </is>
      </c>
      <c r="B7" s="40">
        <f>'Assumptions'!B9</f>
        <v/>
      </c>
      <c r="C7" s="40">
        <f>'Assumptions'!C9</f>
        <v/>
      </c>
      <c r="D7" s="40">
        <f>'Assumptions'!D9</f>
        <v/>
      </c>
      <c r="E7" s="40">
        <f>'Assumptions'!E9</f>
        <v/>
      </c>
      <c r="F7" s="40">
        <f>'Assumptions'!F9</f>
        <v/>
      </c>
      <c r="G7" s="14" t="n"/>
    </row>
    <row r="8">
      <c r="A8" s="18" t="inlineStr">
        <is>
          <t>Annual churn</t>
        </is>
      </c>
      <c r="B8" s="40">
        <f>'Assumptions'!B8</f>
        <v/>
      </c>
      <c r="C8" s="40">
        <f>'Assumptions'!C8</f>
        <v/>
      </c>
      <c r="D8" s="40">
        <f>'Assumptions'!D8</f>
        <v/>
      </c>
      <c r="E8" s="40">
        <f>'Assumptions'!E8</f>
        <v/>
      </c>
      <c r="F8" s="40">
        <f>'Assumptions'!F8</f>
        <v/>
      </c>
      <c r="G8" s="14" t="n"/>
    </row>
    <row r="9">
      <c r="A9" s="18" t="inlineStr">
        <is>
          <t>CAC (USD)</t>
        </is>
      </c>
      <c r="B9" s="22" t="n">
        <v>38</v>
      </c>
      <c r="C9" s="22" t="n">
        <v>32</v>
      </c>
      <c r="D9" s="22" t="n">
        <v>28</v>
      </c>
      <c r="E9" s="22" t="n">
        <v>25</v>
      </c>
      <c r="F9" s="22" t="n">
        <v>23</v>
      </c>
      <c r="G9" s="14" t="n"/>
    </row>
    <row r="10">
      <c r="A10" s="18" t="inlineStr">
        <is>
          <t>LTV (USD)</t>
        </is>
      </c>
      <c r="B10" s="22" t="n">
        <v>185</v>
      </c>
      <c r="C10" s="22" t="n">
        <v>245</v>
      </c>
      <c r="D10" s="22" t="n">
        <v>320</v>
      </c>
      <c r="E10" s="22" t="n">
        <v>420</v>
      </c>
      <c r="F10" s="22" t="n">
        <v>510</v>
      </c>
      <c r="G10" s="14" t="n"/>
    </row>
    <row r="11">
      <c r="A11" s="12" t="inlineStr">
        <is>
          <t>LTV/CAC ratio</t>
        </is>
      </c>
      <c r="B11" s="41">
        <f>B10/B9</f>
        <v/>
      </c>
      <c r="C11" s="41">
        <f>C10/C9</f>
        <v/>
      </c>
      <c r="D11" s="41">
        <f>D10/D9</f>
        <v/>
      </c>
      <c r="E11" s="41">
        <f>E10/E9</f>
        <v/>
      </c>
      <c r="F11" s="41">
        <f>F10/F9</f>
        <v/>
      </c>
      <c r="G11" s="14" t="n"/>
    </row>
    <row r="12">
      <c r="A12" s="12" t="inlineStr">
        <is>
          <t>Revenue (USD M)</t>
        </is>
      </c>
      <c r="B12" s="33">
        <f>'Revenue Model'!C12</f>
        <v/>
      </c>
      <c r="C12" s="33">
        <f>'Revenue Model'!D12</f>
        <v/>
      </c>
      <c r="D12" s="33">
        <f>'Revenue Model'!E12</f>
        <v/>
      </c>
      <c r="E12" s="33">
        <f>'Revenue Model'!F12</f>
        <v/>
      </c>
      <c r="F12" s="33">
        <f>'Revenue Model'!G12</f>
        <v/>
      </c>
      <c r="G12" s="14" t="n"/>
    </row>
    <row r="13">
      <c r="A13" s="18" t="inlineStr">
        <is>
          <t>Gross margin %</t>
        </is>
      </c>
      <c r="B13" s="40">
        <f>'P&amp;L'!B6</f>
        <v/>
      </c>
      <c r="C13" s="40">
        <f>'P&amp;L'!C6</f>
        <v/>
      </c>
      <c r="D13" s="40">
        <f>'P&amp;L'!D6</f>
        <v/>
      </c>
      <c r="E13" s="40">
        <f>'P&amp;L'!E6</f>
        <v/>
      </c>
      <c r="F13" s="40">
        <f>'P&amp;L'!F6</f>
        <v/>
      </c>
      <c r="G13" s="14" t="n"/>
    </row>
    <row r="14">
      <c r="A14" s="18" t="inlineStr">
        <is>
          <t>EBITDA margin %</t>
        </is>
      </c>
      <c r="B14" s="40">
        <f>'P&amp;L'!B12</f>
        <v/>
      </c>
      <c r="C14" s="40">
        <f>'P&amp;L'!C12</f>
        <v/>
      </c>
      <c r="D14" s="40">
        <f>'P&amp;L'!D12</f>
        <v/>
      </c>
      <c r="E14" s="40">
        <f>'P&amp;L'!E12</f>
        <v/>
      </c>
      <c r="F14" s="40">
        <f>'P&amp;L'!F12</f>
        <v/>
      </c>
      <c r="G14" s="14" t="n"/>
    </row>
    <row r="15">
      <c r="A15" s="18" t="inlineStr">
        <is>
          <t>Cash runway months</t>
        </is>
      </c>
      <c r="B15" s="17" t="n">
        <v>24</v>
      </c>
      <c r="C15" s="17" t="n">
        <v>30</v>
      </c>
      <c r="D15" s="17" t="n">
        <v>36</v>
      </c>
      <c r="E15" s="17" t="n">
        <v>42</v>
      </c>
      <c r="F15" s="17" t="n">
        <v>48</v>
      </c>
      <c r="G15" s="14" t="n"/>
    </row>
    <row r="16">
      <c r="A16" s="18" t="inlineStr">
        <is>
          <t>Headcount</t>
        </is>
      </c>
      <c r="B16" s="17" t="n">
        <v>8</v>
      </c>
      <c r="C16" s="17" t="n">
        <v>22</v>
      </c>
      <c r="D16" s="17" t="n">
        <v>48</v>
      </c>
      <c r="E16" s="17" t="n">
        <v>95</v>
      </c>
      <c r="F16" s="17" t="n">
        <v>160</v>
      </c>
      <c r="G16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6" t="inlineStr">
        <is>
          <t>Valuation Analysis</t>
        </is>
      </c>
      <c r="B1" s="11" t="n"/>
      <c r="C1" s="11" t="n"/>
      <c r="D1" s="11" t="n"/>
      <c r="E1" s="11" t="n"/>
      <c r="F1" s="11" t="n"/>
      <c r="G1" s="11" t="n"/>
    </row>
    <row r="2">
      <c r="A2" s="12" t="inlineStr">
        <is>
          <t>Item</t>
        </is>
      </c>
      <c r="B2" s="13" t="n">
        <v>2026</v>
      </c>
      <c r="C2" s="13" t="n">
        <v>2027</v>
      </c>
      <c r="D2" s="13" t="n">
        <v>2028</v>
      </c>
      <c r="E2" s="13" t="n">
        <v>2029</v>
      </c>
      <c r="F2" s="13" t="n">
        <v>2030</v>
      </c>
      <c r="G2" s="14" t="n"/>
    </row>
    <row r="3">
      <c r="A3" s="12" t="inlineStr">
        <is>
          <t>Revenue (USD M)</t>
        </is>
      </c>
      <c r="B3" s="33">
        <f>'Revenue Model'!C12</f>
        <v/>
      </c>
      <c r="C3" s="33">
        <f>'Revenue Model'!D12</f>
        <v/>
      </c>
      <c r="D3" s="33">
        <f>'Revenue Model'!E12</f>
        <v/>
      </c>
      <c r="E3" s="33">
        <f>'Revenue Model'!F12</f>
        <v/>
      </c>
      <c r="F3" s="33">
        <f>'Revenue Model'!G12</f>
        <v/>
      </c>
      <c r="G3" s="14" t="n"/>
    </row>
    <row r="4">
      <c r="A4" s="18" t="inlineStr">
        <is>
          <t>Revenue multiple</t>
        </is>
      </c>
      <c r="B4" s="42">
        <f>'Assumptions'!B43</f>
        <v/>
      </c>
      <c r="C4" s="42">
        <f>'Assumptions'!C43</f>
        <v/>
      </c>
      <c r="D4" s="42">
        <f>'Assumptions'!D43</f>
        <v/>
      </c>
      <c r="E4" s="42">
        <f>'Assumptions'!E43</f>
        <v/>
      </c>
      <c r="F4" s="42">
        <f>'Assumptions'!F43</f>
        <v/>
      </c>
      <c r="G4" s="14" t="n"/>
    </row>
    <row r="5">
      <c r="A5" s="18" t="inlineStr">
        <is>
          <t>Valuation Low (USD M)</t>
        </is>
      </c>
      <c r="B5" s="37">
        <f>B3*B4*0.78</f>
        <v/>
      </c>
      <c r="C5" s="37">
        <f>C3*C4*0.78</f>
        <v/>
      </c>
      <c r="D5" s="37">
        <f>D3*D4*0.78</f>
        <v/>
      </c>
      <c r="E5" s="37">
        <f>E3*E4*0.78</f>
        <v/>
      </c>
      <c r="F5" s="37">
        <f>F3*F4*0.78</f>
        <v/>
      </c>
      <c r="G5" s="14" t="n"/>
    </row>
    <row r="6">
      <c r="A6" s="34" t="inlineStr">
        <is>
          <t>Valuation Mid (USD M)</t>
        </is>
      </c>
      <c r="B6" s="35">
        <f>B3*B4</f>
        <v/>
      </c>
      <c r="C6" s="35">
        <f>C3*C4</f>
        <v/>
      </c>
      <c r="D6" s="35">
        <f>D3*D4</f>
        <v/>
      </c>
      <c r="E6" s="35">
        <f>E3*E4</f>
        <v/>
      </c>
      <c r="F6" s="35">
        <f>F3*F4</f>
        <v/>
      </c>
      <c r="G6" s="14" t="n"/>
    </row>
    <row r="7">
      <c r="A7" s="18" t="inlineStr">
        <is>
          <t>Valuation High (USD M)</t>
        </is>
      </c>
      <c r="B7" s="37">
        <f>B3*B4*1.20</f>
        <v/>
      </c>
      <c r="C7" s="37">
        <f>C3*C4*1.20</f>
        <v/>
      </c>
      <c r="D7" s="37">
        <f>D3*D4*1.20</f>
        <v/>
      </c>
      <c r="E7" s="37">
        <f>E3*E4*1.20</f>
        <v/>
      </c>
      <c r="F7" s="37">
        <f>F3*F4*1.20</f>
        <v/>
      </c>
      <c r="G7" s="14" t="n"/>
    </row>
    <row r="8">
      <c r="A8" s="18" t="inlineStr">
        <is>
          <t>EBITDA (USD M)</t>
        </is>
      </c>
      <c r="B8" s="33">
        <f>'P&amp;L'!B11</f>
        <v/>
      </c>
      <c r="C8" s="33">
        <f>'P&amp;L'!C11</f>
        <v/>
      </c>
      <c r="D8" s="33">
        <f>'P&amp;L'!D11</f>
        <v/>
      </c>
      <c r="E8" s="33">
        <f>'P&amp;L'!E11</f>
        <v/>
      </c>
      <c r="F8" s="33">
        <f>'P&amp;L'!F11</f>
        <v/>
      </c>
      <c r="G8" s="14" t="n"/>
    </row>
    <row r="9">
      <c r="A9" s="18" t="inlineStr">
        <is>
          <t>EBITDA multiple</t>
        </is>
      </c>
      <c r="B9" s="42">
        <f>'Assumptions'!B44</f>
        <v/>
      </c>
      <c r="C9" s="42">
        <f>'Assumptions'!C44</f>
        <v/>
      </c>
      <c r="D9" s="42">
        <f>'Assumptions'!D44</f>
        <v/>
      </c>
      <c r="E9" s="42">
        <f>'Assumptions'!E44</f>
        <v/>
      </c>
      <c r="F9" s="42">
        <f>'Assumptions'!F44</f>
        <v/>
      </c>
      <c r="G9" s="14" t="n"/>
    </row>
    <row r="10">
      <c r="A10" s="18" t="inlineStr">
        <is>
          <t>EBITDA-based valuation (USD M)</t>
        </is>
      </c>
      <c r="B10" s="37">
        <f>IF(B8&lt;=0,0,B8*B9)</f>
        <v/>
      </c>
      <c r="C10" s="37">
        <f>IF(C8&lt;=0,0,C8*C9)</f>
        <v/>
      </c>
      <c r="D10" s="37">
        <f>IF(D8&lt;=0,0,D8*D9)</f>
        <v/>
      </c>
      <c r="E10" s="37">
        <f>IF(E8&lt;=0,0,E8*E9)</f>
        <v/>
      </c>
      <c r="F10" s="37">
        <f>IF(F8&lt;=0,0,F8*F9)</f>
        <v/>
      </c>
      <c r="G10" s="14" t="n"/>
    </row>
    <row r="11">
      <c r="A11" s="18" t="inlineStr">
        <is>
          <t>DCF terminal value (USD M)</t>
        </is>
      </c>
      <c r="B11" s="37" t="inlineStr">
        <is>
          <t>"-"</t>
        </is>
      </c>
      <c r="C11" s="37" t="inlineStr">
        <is>
          <t>"-"</t>
        </is>
      </c>
      <c r="D11" s="37" t="inlineStr">
        <is>
          <t>"-"</t>
        </is>
      </c>
      <c r="E11" s="37" t="inlineStr">
        <is>
          <t>"-"</t>
        </is>
      </c>
      <c r="F11" s="37">
        <f>'P&amp;L'!F17*1.04/('Assumptions'!B42-0.04)</f>
        <v/>
      </c>
      <c r="G11" s="1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36" t="inlineStr">
        <is>
          <t>Sensitivity / Scenario Analysis</t>
        </is>
      </c>
      <c r="B1" s="11" t="n"/>
      <c r="C1" s="11" t="n"/>
      <c r="D1" s="11" t="n"/>
    </row>
    <row r="2">
      <c r="A2" s="12" t="inlineStr">
        <is>
          <t>Scenario</t>
        </is>
      </c>
      <c r="B2" s="43" t="inlineStr">
        <is>
          <t>Bear</t>
        </is>
      </c>
      <c r="C2" s="43" t="inlineStr">
        <is>
          <t>Base</t>
        </is>
      </c>
      <c r="D2" s="43" t="inlineStr">
        <is>
          <t>Bull</t>
        </is>
      </c>
    </row>
    <row r="3">
      <c r="A3" s="12" t="inlineStr">
        <is>
          <t>Y3 Revenue (USD M)</t>
        </is>
      </c>
      <c r="B3" s="25" t="n">
        <v>6</v>
      </c>
      <c r="C3" s="25" t="n">
        <v>14.5</v>
      </c>
      <c r="D3" s="25" t="n">
        <v>22</v>
      </c>
    </row>
    <row r="4">
      <c r="A4" s="12" t="inlineStr">
        <is>
          <t>Y5 Revenue (USD M)</t>
        </is>
      </c>
      <c r="B4" s="25" t="n">
        <v>35</v>
      </c>
      <c r="C4" s="25" t="n">
        <v>98</v>
      </c>
      <c r="D4" s="25" t="n">
        <v>165</v>
      </c>
    </row>
    <row r="5">
      <c r="A5" s="12" t="inlineStr">
        <is>
          <t>Y5 EBITDA margin</t>
        </is>
      </c>
      <c r="B5" s="21" t="n">
        <v>0.1</v>
      </c>
      <c r="C5" s="21" t="n">
        <v>0.22</v>
      </c>
      <c r="D5" s="21" t="n">
        <v>0.32</v>
      </c>
    </row>
    <row r="6">
      <c r="A6" s="12" t="inlineStr">
        <is>
          <t>Y5 Valuation mid (USD M)</t>
        </is>
      </c>
      <c r="B6" s="25" t="n">
        <v>175</v>
      </c>
      <c r="C6" s="25" t="n">
        <v>615</v>
      </c>
      <c r="D6" s="25" t="n">
        <v>1150</v>
      </c>
    </row>
    <row r="7">
      <c r="A7" s="12" t="inlineStr">
        <is>
          <t>Investor share @ 21.4% pre-dilution</t>
        </is>
      </c>
      <c r="B7" s="25" t="n">
        <v>37.5</v>
      </c>
      <c r="C7" s="25" t="n">
        <v>131.6</v>
      </c>
      <c r="D7" s="25" t="n">
        <v>246.1</v>
      </c>
    </row>
    <row r="8">
      <c r="A8" s="12" t="inlineStr">
        <is>
          <t>MOIC (pre-dilution)</t>
        </is>
      </c>
      <c r="B8" s="29" t="n">
        <v>12.5</v>
      </c>
      <c r="C8" s="29" t="n">
        <v>43.9</v>
      </c>
      <c r="D8" s="29" t="n">
        <v>82</v>
      </c>
    </row>
    <row r="9">
      <c r="A9" s="12" t="inlineStr">
        <is>
          <t>MOIC (post 30% dilution)</t>
        </is>
      </c>
      <c r="B9" s="29" t="n">
        <v>8.75</v>
      </c>
      <c r="C9" s="29" t="n">
        <v>30.73</v>
      </c>
      <c r="D9" s="29" t="n">
        <v>57.4</v>
      </c>
    </row>
    <row r="10">
      <c r="A10" s="12" t="inlineStr">
        <is>
          <t>IRR (5Y)</t>
        </is>
      </c>
      <c r="B10" s="21" t="n">
        <v>0.54</v>
      </c>
      <c r="C10" s="21" t="n">
        <v>1.16</v>
      </c>
      <c r="D10" s="21" t="n">
        <v>1.55</v>
      </c>
    </row>
    <row r="11">
      <c r="A11" s="14" t="n"/>
      <c r="B11" s="14" t="n"/>
      <c r="C11" s="14" t="n"/>
      <c r="D11" s="14" t="n"/>
    </row>
    <row r="12">
      <c r="A12" s="14" t="n"/>
      <c r="B12" s="14" t="n"/>
      <c r="C12" s="14" t="n"/>
      <c r="D12" s="14" t="n"/>
    </row>
    <row r="13">
      <c r="A13" s="30" t="inlineStr">
        <is>
          <t>Notes</t>
        </is>
      </c>
      <c r="B13" s="14" t="n"/>
      <c r="C13" s="14" t="n"/>
      <c r="D13" s="14" t="n"/>
    </row>
    <row r="14">
      <c r="A14" s="30" t="inlineStr">
        <is>
          <t>Bear</t>
        </is>
      </c>
      <c r="B14" s="31" t="inlineStr">
        <is>
          <t>Slow adoption, Vietnam-only, no SEA expansion</t>
        </is>
      </c>
      <c r="C14" s="14" t="n"/>
      <c r="D14" s="14" t="n"/>
    </row>
    <row r="15">
      <c r="A15" s="30" t="inlineStr">
        <is>
          <t>Base</t>
        </is>
      </c>
      <c r="B15" s="31" t="inlineStr">
        <is>
          <t>Planned execution per roadmap</t>
        </is>
      </c>
      <c r="C15" s="14" t="n"/>
      <c r="D15" s="14" t="n"/>
    </row>
    <row r="16">
      <c r="A16" s="30" t="inlineStr">
        <is>
          <t>Bull</t>
        </is>
      </c>
      <c r="B16" s="31" t="inlineStr">
        <is>
          <t>SEA + B2B accelerate, English market early entry</t>
        </is>
      </c>
      <c r="C16" s="14" t="n"/>
      <c r="D16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2026-05-22T12:10:13Z</dcterms:created>
  <dcterms:modified xmlns:dcterms="http://purl.org/dc/terms/" xmlns:xsi="http://www.w3.org/2001/XMLSchema-instance" xsi:type="dcterms:W3CDTF">2026-05-22T12:10:13Z</dcterms:modified>
</cp:coreProperties>
</file>