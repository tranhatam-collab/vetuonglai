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 Bìa" sheetId="1" state="visible" r:id="rId1"/>
    <sheet xmlns:r="http://schemas.openxmlformats.org/officeDocument/2006/relationships" name="Giả định" sheetId="2" state="visible" r:id="rId2"/>
    <sheet xmlns:r="http://schemas.openxmlformats.org/officeDocument/2006/relationships" name="Mô hình Doanh thu" sheetId="3" state="visible" r:id="rId3"/>
    <sheet xmlns:r="http://schemas.openxmlformats.org/officeDocument/2006/relationships" name="Chi phí" sheetId="4" state="visible" r:id="rId4"/>
    <sheet xmlns:r="http://schemas.openxmlformats.org/officeDocument/2006/relationships" name="Lãi-Lỗ" sheetId="5" state="visible" r:id="rId5"/>
    <sheet xmlns:r="http://schemas.openxmlformats.org/officeDocument/2006/relationships" name="Dòng tiền" sheetId="6" state="visible" r:id="rId6"/>
    <sheet xmlns:r="http://schemas.openxmlformats.org/officeDocument/2006/relationships" name="KPI Tóm tắt" sheetId="7" state="visible" r:id="rId7"/>
    <sheet xmlns:r="http://schemas.openxmlformats.org/officeDocument/2006/relationships" name="Định giá" sheetId="8" state="visible" r:id="rId8"/>
    <sheet xmlns:r="http://schemas.openxmlformats.org/officeDocument/2006/relationships" name="Kịch bả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;(#,##0);&quot;-&quot;"/>
    <numFmt numFmtId="165" formatCode="0.0%;(0.0%);&quot;-&quot;"/>
    <numFmt numFmtId="166" formatCode="$#,##0;($#,##0);&quot;-&quot;"/>
    <numFmt numFmtId="167" formatCode="&quot;$&quot;0.00"/>
    <numFmt numFmtId="168" formatCode="0.0"/>
    <numFmt numFmtId="169" formatCode="&quot;$&quot;#,##0&quot;M&quot;;&quot;($&quot;#,##0&quot;M)&quot;;&quot;-&quot;"/>
    <numFmt numFmtId="170" formatCode="#,##0.0"/>
    <numFmt numFmtId="171" formatCode="0.0&quot;x&quot;"/>
  </numFmts>
  <fonts count="13">
    <font>
      <name val="Calibri"/>
      <family val="2"/>
      <color theme="1"/>
      <sz val="11"/>
      <scheme val="minor"/>
    </font>
    <font>
      <name val="Arial"/>
      <b val="1"/>
      <color rgb="001E2761"/>
      <sz val="20"/>
    </font>
    <font>
      <name val="Arial"/>
      <i val="1"/>
      <color rgb="00555555"/>
      <sz val="14"/>
    </font>
    <font>
      <name val="Arial"/>
      <sz val="10"/>
    </font>
    <font>
      <name val="Arial"/>
      <b val="1"/>
      <color rgb="00C00000"/>
      <sz val="11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E2761"/>
        <bgColor rgb="001E2761"/>
      </patternFill>
    </fill>
    <fill>
      <patternFill patternType="solid">
        <fgColor rgb="00555555"/>
        <bgColor rgb="0055555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0" fontId="9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4" borderId="1" pivotButton="0" quotePrefix="0" xfId="0"/>
    <xf numFmtId="0" fontId="0" fillId="4" borderId="1" pivotButton="0" quotePrefix="0" xfId="0"/>
    <xf numFmtId="164" fontId="6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170" fontId="6" fillId="0" borderId="1" applyAlignment="1" pivotButton="0" quotePrefix="0" xfId="0">
      <alignment horizontal="right" vertical="center"/>
    </xf>
    <xf numFmtId="165" fontId="6" fillId="2" borderId="1" applyAlignment="1" pivotButton="0" quotePrefix="0" xfId="0">
      <alignment horizontal="right" vertical="center"/>
    </xf>
    <xf numFmtId="171" fontId="6" fillId="2" borderId="1" applyAlignment="1" pivotButton="0" quotePrefix="0" xfId="0">
      <alignment horizontal="right" vertical="center"/>
    </xf>
    <xf numFmtId="171" fontId="6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3" fillId="0" borderId="1" pivotButton="0" quotePrefix="0" xfId="0"/>
    <xf numFmtId="0" fontId="11" fillId="0" borderId="1" pivotButton="0" quotePrefix="0" xfId="0"/>
    <xf numFmtId="169" fontId="8" fillId="0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left" vertical="center"/>
    </xf>
    <xf numFmtId="169" fontId="12" fillId="3" borderId="1" applyAlignment="1" pivotButton="0" quotePrefix="0" xfId="0">
      <alignment horizontal="right" vertical="center"/>
    </xf>
    <xf numFmtId="0" fontId="9" fillId="3" borderId="1" pivotButton="0" quotePrefix="0" xfId="0"/>
    <xf numFmtId="169" fontId="7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71" fontId="7" fillId="0" borderId="1" applyAlignment="1" pivotButton="0" quotePrefix="0" xfId="0">
      <alignment horizontal="right" vertical="center"/>
    </xf>
    <xf numFmtId="171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60" customWidth="1" min="3" max="3"/>
  </cols>
  <sheetData>
    <row r="2" ht="28" customHeight="1">
      <c r="B2" s="1" t="inlineStr">
        <is>
          <t>HỆ SINH THÁI VETUONGLAI</t>
        </is>
      </c>
    </row>
    <row r="3">
      <c r="B3" s="2" t="inlineStr">
        <is>
          <t>Dự báo Tài chính 5 năm</t>
        </is>
      </c>
    </row>
    <row r="5">
      <c r="B5" s="3" t="inlineStr">
        <is>
          <t>Kỳ: 2026 (Năm 1) — 2030 (Năm 5)</t>
        </is>
      </c>
    </row>
    <row r="6">
      <c r="B6" s="3" t="inlineStr">
        <is>
          <t>Đơn vị: Triệu USD trừ khi ghi khác</t>
        </is>
      </c>
    </row>
    <row r="7">
      <c r="B7" s="3" t="inlineStr">
        <is>
          <t>Tháng 5/2026</t>
        </is>
      </c>
    </row>
    <row r="9">
      <c r="B9" s="4" t="inlineStr">
        <is>
          <t>TUYỆT MẬT — Chỉ người nhận được phép</t>
        </is>
      </c>
    </row>
    <row r="11">
      <c r="B11" s="5" t="inlineStr">
        <is>
          <t>Quy ước màu</t>
        </is>
      </c>
    </row>
    <row r="12">
      <c r="B12" s="6" t="inlineStr">
        <is>
          <t>Chữ xanh dương</t>
        </is>
      </c>
      <c r="C12" s="3" t="inlineStr">
        <is>
          <t>Đầu vào cố định (thay đổi cho kịch bản)</t>
        </is>
      </c>
    </row>
    <row r="13">
      <c r="B13" s="7" t="inlineStr">
        <is>
          <t>Chữ đen</t>
        </is>
      </c>
      <c r="C13" s="3" t="inlineStr">
        <is>
          <t>Tất cả công thức tính toán</t>
        </is>
      </c>
    </row>
    <row r="14">
      <c r="B14" s="8" t="inlineStr">
        <is>
          <t>Chữ xanh lá</t>
        </is>
      </c>
      <c r="C14" s="3" t="inlineStr">
        <is>
          <t>Liên kết giữa các sheet</t>
        </is>
      </c>
    </row>
    <row r="15">
      <c r="B15" s="9" t="inlineStr">
        <is>
          <t>Nền vàng</t>
        </is>
      </c>
      <c r="C15" s="3" t="inlineStr">
        <is>
          <t>Giả định quan trọng cần chú ý</t>
        </is>
      </c>
    </row>
    <row r="18">
      <c r="B18" s="5" t="inlineStr">
        <is>
          <t>Các sheet trong workbook</t>
        </is>
      </c>
    </row>
    <row r="19">
      <c r="B19" t="inlineStr">
        <is>
          <t xml:space="preserve">  → Giả định</t>
        </is>
      </c>
    </row>
    <row r="20">
      <c r="B20" t="inlineStr">
        <is>
          <t xml:space="preserve">  → Mô hình Doanh thu</t>
        </is>
      </c>
    </row>
    <row r="21">
      <c r="B21" t="inlineStr">
        <is>
          <t xml:space="preserve">  → Chi phí</t>
        </is>
      </c>
    </row>
    <row r="22">
      <c r="B22" t="inlineStr">
        <is>
          <t xml:space="preserve">  → Lãi-Lỗ</t>
        </is>
      </c>
    </row>
    <row r="23">
      <c r="B23" t="inlineStr">
        <is>
          <t xml:space="preserve">  → Dòng tiền</t>
        </is>
      </c>
    </row>
    <row r="24">
      <c r="B24" t="inlineStr">
        <is>
          <t xml:space="preserve">  → KPI Tóm tắt</t>
        </is>
      </c>
    </row>
    <row r="25">
      <c r="B25" t="inlineStr">
        <is>
          <t xml:space="preserve">  → Định giá</t>
        </is>
      </c>
    </row>
    <row r="26">
      <c r="B26" t="inlineStr">
        <is>
          <t xml:space="preserve">  → Kịch bản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0" t="inlineStr">
        <is>
          <t>Vetuonglai Dự báo Tài chính 5 năm</t>
        </is>
      </c>
      <c r="B1" s="11" t="n"/>
      <c r="C1" s="11" t="n"/>
      <c r="D1" s="11" t="n"/>
      <c r="E1" s="11" t="n"/>
      <c r="F1" s="11" t="n"/>
      <c r="G1" s="11" t="n"/>
    </row>
    <row r="2">
      <c r="A2" s="12" t="inlineStr">
        <is>
          <t>Year</t>
        </is>
      </c>
      <c r="B2" s="13" t="n">
        <v>2026</v>
      </c>
      <c r="C2" s="13" t="n">
        <v>2027</v>
      </c>
      <c r="D2" s="13" t="n">
        <v>2028</v>
      </c>
      <c r="E2" s="13" t="n">
        <v>2029</v>
      </c>
      <c r="F2" s="13" t="n">
        <v>2030</v>
      </c>
      <c r="G2" s="14" t="n"/>
    </row>
    <row r="3">
      <c r="A3" s="14" t="n"/>
      <c r="B3" s="14" t="n"/>
      <c r="C3" s="14" t="n"/>
      <c r="D3" s="14" t="n"/>
      <c r="E3" s="14" t="n"/>
      <c r="F3" s="14" t="n"/>
      <c r="G3" s="14" t="n"/>
    </row>
    <row r="4">
      <c r="A4" s="15" t="inlineStr">
        <is>
          <t>MEMBER GROWTH</t>
        </is>
      </c>
      <c r="B4" s="16" t="n"/>
      <c r="C4" s="16" t="n"/>
      <c r="D4" s="16" t="n"/>
      <c r="E4" s="16" t="n"/>
      <c r="F4" s="16" t="n"/>
      <c r="G4" s="16" t="n"/>
    </row>
    <row r="5">
      <c r="A5" s="12" t="inlineStr">
        <is>
          <t>Paid members (end of year)</t>
        </is>
      </c>
      <c r="B5" s="17" t="n">
        <v>12000</v>
      </c>
      <c r="C5" s="17" t="n">
        <v>55000</v>
      </c>
      <c r="D5" s="17" t="n">
        <v>220000</v>
      </c>
      <c r="E5" s="17" t="n">
        <v>620000</v>
      </c>
      <c r="F5" s="17" t="n">
        <v>1650000</v>
      </c>
      <c r="G5" s="14" t="n"/>
    </row>
    <row r="6">
      <c r="A6" s="18" t="inlineStr">
        <is>
          <t>Free members (end of year)</t>
        </is>
      </c>
      <c r="B6" s="17" t="n">
        <v>108000</v>
      </c>
      <c r="C6" s="17" t="n">
        <v>495000</v>
      </c>
      <c r="D6" s="17" t="n">
        <v>1980000</v>
      </c>
      <c r="E6" s="17" t="n">
        <v>5580000</v>
      </c>
      <c r="F6" s="17" t="n">
        <v>14850000</v>
      </c>
      <c r="G6" s="14" t="n"/>
    </row>
    <row r="7">
      <c r="A7" s="18" t="inlineStr">
        <is>
          <t>Total members</t>
        </is>
      </c>
      <c r="B7" s="19">
        <f>B5+B6</f>
        <v/>
      </c>
      <c r="C7" s="19">
        <f>C5+C6</f>
        <v/>
      </c>
      <c r="D7" s="19">
        <f>D5+D6</f>
        <v/>
      </c>
      <c r="E7" s="19">
        <f>E5+E6</f>
        <v/>
      </c>
      <c r="F7" s="19">
        <f>F5+F6</f>
        <v/>
      </c>
      <c r="G7" s="14" t="n"/>
    </row>
    <row r="8">
      <c r="A8" s="18" t="inlineStr">
        <is>
          <t>YoY paid member growth</t>
        </is>
      </c>
      <c r="B8" s="19" t="inlineStr">
        <is>
          <t>"-"</t>
        </is>
      </c>
      <c r="C8" s="20">
        <f>C5/B5-1</f>
        <v/>
      </c>
      <c r="D8" s="20">
        <f>D5/C5-1</f>
        <v/>
      </c>
      <c r="E8" s="20">
        <f>E5/D5-1</f>
        <v/>
      </c>
      <c r="F8" s="20">
        <f>F5/E5-1</f>
        <v/>
      </c>
      <c r="G8" s="14" t="n"/>
    </row>
    <row r="9">
      <c r="A9" s="18" t="inlineStr">
        <is>
          <t>Annual churn</t>
        </is>
      </c>
      <c r="B9" s="21" t="n">
        <v>0.18</v>
      </c>
      <c r="C9" s="21" t="n">
        <v>0.15</v>
      </c>
      <c r="D9" s="21" t="n">
        <v>0.12</v>
      </c>
      <c r="E9" s="21" t="n">
        <v>0.1</v>
      </c>
      <c r="F9" s="21" t="n">
        <v>0.09</v>
      </c>
      <c r="G9" s="14" t="n"/>
    </row>
    <row r="10">
      <c r="A10" s="18" t="inlineStr">
        <is>
          <t>Free→paid conversion</t>
        </is>
      </c>
      <c r="B10" s="21" t="n">
        <v>0.05</v>
      </c>
      <c r="C10" s="21" t="n">
        <v>0.07000000000000001</v>
      </c>
      <c r="D10" s="21" t="n">
        <v>0.09</v>
      </c>
      <c r="E10" s="21" t="n">
        <v>0.11</v>
      </c>
      <c r="F10" s="21" t="n">
        <v>0.12</v>
      </c>
      <c r="G10" s="14" t="n"/>
    </row>
    <row r="11">
      <c r="A11" s="14" t="n"/>
      <c r="B11" s="14" t="n"/>
      <c r="C11" s="14" t="n"/>
      <c r="D11" s="14" t="n"/>
      <c r="E11" s="14" t="n"/>
      <c r="F11" s="14" t="n"/>
      <c r="G11" s="14" t="n"/>
    </row>
    <row r="12">
      <c r="A12" s="15" t="inlineStr">
        <is>
          <t>PRICING (USD)</t>
        </is>
      </c>
      <c r="B12" s="16" t="n"/>
      <c r="C12" s="16" t="n"/>
      <c r="D12" s="16" t="n"/>
      <c r="E12" s="16" t="n"/>
      <c r="F12" s="16" t="n"/>
      <c r="G12" s="16" t="n"/>
    </row>
    <row r="13">
      <c r="A13" s="12" t="inlineStr">
        <is>
          <t>Annual Access price</t>
        </is>
      </c>
      <c r="B13" s="22" t="n">
        <v>99</v>
      </c>
      <c r="C13" s="22" t="n">
        <v>104</v>
      </c>
      <c r="D13" s="22" t="n">
        <v>109</v>
      </c>
      <c r="E13" s="22" t="n">
        <v>115</v>
      </c>
      <c r="F13" s="22" t="n">
        <v>121</v>
      </c>
      <c r="G13" s="14" t="n"/>
    </row>
    <row r="14">
      <c r="A14" s="18" t="inlineStr">
        <is>
          <t>Specialist Pack price (avg)</t>
        </is>
      </c>
      <c r="B14" s="22" t="n">
        <v>29</v>
      </c>
      <c r="C14" s="22" t="n">
        <v>31</v>
      </c>
      <c r="D14" s="22" t="n">
        <v>32</v>
      </c>
      <c r="E14" s="22" t="n">
        <v>34</v>
      </c>
      <c r="F14" s="22" t="n">
        <v>36</v>
      </c>
      <c r="G14" s="14" t="n"/>
    </row>
    <row r="15">
      <c r="A15" s="18" t="inlineStr">
        <is>
          <t>AI Tutor price/year</t>
        </is>
      </c>
      <c r="B15" s="22" t="n">
        <v>120</v>
      </c>
      <c r="C15" s="22" t="n">
        <v>126</v>
      </c>
      <c r="D15" s="22" t="n">
        <v>132</v>
      </c>
      <c r="E15" s="22" t="n">
        <v>139</v>
      </c>
      <c r="F15" s="22" t="n">
        <v>146</v>
      </c>
      <c r="G15" s="14" t="n"/>
    </row>
    <row r="16">
      <c r="A16" s="18" t="inlineStr">
        <is>
          <t>B2B Verification API ($/verif)</t>
        </is>
      </c>
      <c r="B16" s="23" t="n">
        <v>0.75</v>
      </c>
      <c r="C16" s="23" t="n">
        <v>0.8</v>
      </c>
      <c r="D16" s="23" t="n">
        <v>0.85</v>
      </c>
      <c r="E16" s="23" t="n">
        <v>0.9</v>
      </c>
      <c r="F16" s="23" t="n">
        <v>0.95</v>
      </c>
      <c r="G16" s="14" t="n"/>
    </row>
    <row r="17">
      <c r="A17" s="18" t="inlineStr">
        <is>
          <t>B2B VC Issuer License/year</t>
        </is>
      </c>
      <c r="B17" s="22" t="n">
        <v>12000</v>
      </c>
      <c r="C17" s="22" t="n">
        <v>12500</v>
      </c>
      <c r="D17" s="22" t="n">
        <v>13000</v>
      </c>
      <c r="E17" s="22" t="n">
        <v>13500</v>
      </c>
      <c r="F17" s="22" t="n">
        <v>14000</v>
      </c>
      <c r="G17" s="14" t="n"/>
    </row>
    <row r="18">
      <c r="A18" s="14" t="n"/>
      <c r="B18" s="14" t="n"/>
      <c r="C18" s="14" t="n"/>
      <c r="D18" s="14" t="n"/>
      <c r="E18" s="14" t="n"/>
      <c r="F18" s="14" t="n"/>
      <c r="G18" s="14" t="n"/>
    </row>
    <row r="19">
      <c r="A19" s="15" t="inlineStr">
        <is>
          <t>TAKE RATES &amp; VOLUME</t>
        </is>
      </c>
      <c r="B19" s="16" t="n"/>
      <c r="C19" s="16" t="n"/>
      <c r="D19" s="16" t="n"/>
      <c r="E19" s="16" t="n"/>
      <c r="F19" s="16" t="n"/>
      <c r="G19" s="16" t="n"/>
    </row>
    <row r="20">
      <c r="A20" s="12" t="inlineStr">
        <is>
          <t>Pack attach rate per paid member/yr</t>
        </is>
      </c>
      <c r="B20" s="24" t="n">
        <v>1.2</v>
      </c>
      <c r="C20" s="24" t="n">
        <v>1.5</v>
      </c>
      <c r="D20" s="24" t="n">
        <v>1.8</v>
      </c>
      <c r="E20" s="24" t="n">
        <v>2</v>
      </c>
      <c r="F20" s="24" t="n">
        <v>2.2</v>
      </c>
      <c r="G20" s="14" t="n"/>
    </row>
    <row r="21">
      <c r="A21" s="18" t="inlineStr">
        <is>
          <t>AI Tutor attach % paid</t>
        </is>
      </c>
      <c r="B21" s="21" t="n">
        <v>0.1</v>
      </c>
      <c r="C21" s="21" t="n">
        <v>0.18</v>
      </c>
      <c r="D21" s="21" t="n">
        <v>0.25</v>
      </c>
      <c r="E21" s="21" t="n">
        <v>0.32</v>
      </c>
      <c r="F21" s="21" t="n">
        <v>0.38</v>
      </c>
      <c r="G21" s="14" t="n"/>
    </row>
    <row r="22">
      <c r="A22" s="18" t="inlineStr">
        <is>
          <t>Job marketplace GMV ($M)</t>
        </is>
      </c>
      <c r="B22" s="25" t="n">
        <v>2</v>
      </c>
      <c r="C22" s="25" t="n">
        <v>12</v>
      </c>
      <c r="D22" s="25" t="n">
        <v>48</v>
      </c>
      <c r="E22" s="25" t="n">
        <v>145</v>
      </c>
      <c r="F22" s="25" t="n">
        <v>360</v>
      </c>
      <c r="G22" s="14" t="n"/>
    </row>
    <row r="23">
      <c r="A23" s="18" t="inlineStr">
        <is>
          <t>Marketplace take rate %</t>
        </is>
      </c>
      <c r="B23" s="21" t="n">
        <v>0.09</v>
      </c>
      <c r="C23" s="21" t="n">
        <v>0.09</v>
      </c>
      <c r="D23" s="21" t="n">
        <v>0.08500000000000001</v>
      </c>
      <c r="E23" s="21" t="n">
        <v>0.08</v>
      </c>
      <c r="F23" s="21" t="n">
        <v>0.08</v>
      </c>
      <c r="G23" s="14" t="n"/>
    </row>
    <row r="24">
      <c r="A24" s="18" t="inlineStr">
        <is>
          <t>Wallet payout volume ($M)</t>
        </is>
      </c>
      <c r="B24" s="25" t="n">
        <v>1</v>
      </c>
      <c r="C24" s="25" t="n">
        <v>8</v>
      </c>
      <c r="D24" s="25" t="n">
        <v>35</v>
      </c>
      <c r="E24" s="25" t="n">
        <v>105</v>
      </c>
      <c r="F24" s="25" t="n">
        <v>250</v>
      </c>
      <c r="G24" s="14" t="n"/>
    </row>
    <row r="25">
      <c r="A25" s="18" t="inlineStr">
        <is>
          <t>Wallet payout fee %</t>
        </is>
      </c>
      <c r="B25" s="21" t="n">
        <v>0.02</v>
      </c>
      <c r="C25" s="21" t="n">
        <v>0.02</v>
      </c>
      <c r="D25" s="21" t="n">
        <v>0.018</v>
      </c>
      <c r="E25" s="21" t="n">
        <v>0.015</v>
      </c>
      <c r="F25" s="21" t="n">
        <v>0.012</v>
      </c>
      <c r="G25" s="14" t="n"/>
    </row>
    <row r="26">
      <c r="A26" s="18" t="inlineStr">
        <is>
          <t>Affiliate revenue ($M)</t>
        </is>
      </c>
      <c r="B26" s="25" t="n">
        <v>0.05</v>
      </c>
      <c r="C26" s="25" t="n">
        <v>0.4</v>
      </c>
      <c r="D26" s="25" t="n">
        <v>1.8</v>
      </c>
      <c r="E26" s="25" t="n">
        <v>5.5</v>
      </c>
      <c r="F26" s="25" t="n">
        <v>13.5</v>
      </c>
      <c r="G26" s="14" t="n"/>
    </row>
    <row r="27">
      <c r="A27" s="18" t="inlineStr">
        <is>
          <t>B2B API verifications (M/year)</t>
        </is>
      </c>
      <c r="B27" s="26" t="n">
        <v>0.5</v>
      </c>
      <c r="C27" s="26" t="n">
        <v>3</v>
      </c>
      <c r="D27" s="26" t="n">
        <v>12</v>
      </c>
      <c r="E27" s="26" t="n">
        <v>35</v>
      </c>
      <c r="F27" s="26" t="n">
        <v>80</v>
      </c>
      <c r="G27" s="14" t="n"/>
    </row>
    <row r="28">
      <c r="A28" s="18" t="inlineStr">
        <is>
          <t>B2B VC Issuer customers</t>
        </is>
      </c>
      <c r="B28" s="17" t="n">
        <v>2</v>
      </c>
      <c r="C28" s="17" t="n">
        <v>12</v>
      </c>
      <c r="D28" s="17" t="n">
        <v>45</v>
      </c>
      <c r="E28" s="17" t="n">
        <v>130</v>
      </c>
      <c r="F28" s="17" t="n">
        <v>320</v>
      </c>
      <c r="G28" s="14" t="n"/>
    </row>
    <row r="29">
      <c r="A29" s="14" t="n"/>
      <c r="B29" s="14" t="n"/>
      <c r="C29" s="14" t="n"/>
      <c r="D29" s="14" t="n"/>
      <c r="E29" s="14" t="n"/>
      <c r="F29" s="14" t="n"/>
      <c r="G29" s="14" t="n"/>
    </row>
    <row r="30">
      <c r="A30" s="15" t="inlineStr">
        <is>
          <t>COST RATIOS</t>
        </is>
      </c>
      <c r="B30" s="16" t="n"/>
      <c r="C30" s="16" t="n"/>
      <c r="D30" s="16" t="n"/>
      <c r="E30" s="16" t="n"/>
      <c r="F30" s="16" t="n"/>
      <c r="G30" s="16" t="n"/>
    </row>
    <row r="31">
      <c r="A31" s="12" t="inlineStr">
        <is>
          <t>Infrastructure cost % of revenue</t>
        </is>
      </c>
      <c r="B31" s="27" t="n">
        <v>0.06</v>
      </c>
      <c r="C31" s="27" t="n">
        <v>0.05</v>
      </c>
      <c r="D31" s="27" t="n">
        <v>0.04</v>
      </c>
      <c r="E31" s="27" t="n">
        <v>0.035</v>
      </c>
      <c r="F31" s="27" t="n">
        <v>0.03</v>
      </c>
      <c r="G31" s="14" t="n"/>
    </row>
    <row r="32">
      <c r="A32" s="18" t="inlineStr">
        <is>
          <t>Payment processing % of revenue</t>
        </is>
      </c>
      <c r="B32" s="21" t="n">
        <v>0.025</v>
      </c>
      <c r="C32" s="21" t="n">
        <v>0.025</v>
      </c>
      <c r="D32" s="21" t="n">
        <v>0.024</v>
      </c>
      <c r="E32" s="21" t="n">
        <v>0.023</v>
      </c>
      <c r="F32" s="21" t="n">
        <v>0.022</v>
      </c>
      <c r="G32" s="14" t="n"/>
    </row>
    <row r="33">
      <c r="A33" s="18" t="inlineStr">
        <is>
          <t>KYC + verification cost % rev</t>
        </is>
      </c>
      <c r="B33" s="21" t="n">
        <v>0.02</v>
      </c>
      <c r="C33" s="21" t="n">
        <v>0.018</v>
      </c>
      <c r="D33" s="21" t="n">
        <v>0.015</v>
      </c>
      <c r="E33" s="21" t="n">
        <v>0.012</v>
      </c>
      <c r="F33" s="21" t="n">
        <v>0.01</v>
      </c>
      <c r="G33" s="14" t="n"/>
    </row>
    <row r="34">
      <c r="A34" s="18" t="inlineStr">
        <is>
          <t>Other COGS % of revenue</t>
        </is>
      </c>
      <c r="B34" s="21" t="n">
        <v>0.175</v>
      </c>
      <c r="C34" s="21" t="n">
        <v>0.147</v>
      </c>
      <c r="D34" s="21" t="n">
        <v>0.141</v>
      </c>
      <c r="E34" s="21" t="n">
        <v>0.13</v>
      </c>
      <c r="F34" s="21" t="n">
        <v>0.128</v>
      </c>
      <c r="G34" s="14" t="n"/>
    </row>
    <row r="35">
      <c r="A35" s="12" t="inlineStr">
        <is>
          <t>Total COGS % (sum above)</t>
        </is>
      </c>
      <c r="B35" s="20">
        <f>B31+B32+B33+B34</f>
        <v/>
      </c>
      <c r="C35" s="20">
        <f>C31+C32+C33+C34</f>
        <v/>
      </c>
      <c r="D35" s="20">
        <f>D31+D32+D33+D34</f>
        <v/>
      </c>
      <c r="E35" s="20">
        <f>E31+E32+E33+E34</f>
        <v/>
      </c>
      <c r="F35" s="20">
        <f>F31+F32+F33+F34</f>
        <v/>
      </c>
      <c r="G35" s="14" t="n"/>
    </row>
    <row r="36">
      <c r="A36" s="18" t="inlineStr">
        <is>
          <t>S&amp;M cost % of revenue</t>
        </is>
      </c>
      <c r="B36" s="21" t="n">
        <v>0.45</v>
      </c>
      <c r="C36" s="21" t="n">
        <v>0.38</v>
      </c>
      <c r="D36" s="21" t="n">
        <v>0.32</v>
      </c>
      <c r="E36" s="21" t="n">
        <v>0.28</v>
      </c>
      <c r="F36" s="21" t="n">
        <v>0.25</v>
      </c>
      <c r="G36" s="14" t="n"/>
    </row>
    <row r="37">
      <c r="A37" s="18" t="inlineStr">
        <is>
          <t>R&amp;D cost % of revenue</t>
        </is>
      </c>
      <c r="B37" s="21" t="n">
        <v>0.35</v>
      </c>
      <c r="C37" s="21" t="n">
        <v>0.28</v>
      </c>
      <c r="D37" s="21" t="n">
        <v>0.22</v>
      </c>
      <c r="E37" s="21" t="n">
        <v>0.18</v>
      </c>
      <c r="F37" s="21" t="n">
        <v>0.15</v>
      </c>
      <c r="G37" s="14" t="n"/>
    </row>
    <row r="38">
      <c r="A38" s="18" t="inlineStr">
        <is>
          <t>G&amp;A cost % of revenue</t>
        </is>
      </c>
      <c r="B38" s="21" t="n">
        <v>0.18</v>
      </c>
      <c r="C38" s="21" t="n">
        <v>0.14</v>
      </c>
      <c r="D38" s="21" t="n">
        <v>0.1</v>
      </c>
      <c r="E38" s="21" t="n">
        <v>0.08</v>
      </c>
      <c r="F38" s="21" t="n">
        <v>0.07000000000000001</v>
      </c>
      <c r="G38" s="14" t="n"/>
    </row>
    <row r="39">
      <c r="A39" s="14" t="n"/>
      <c r="B39" s="14" t="n"/>
      <c r="C39" s="14" t="n"/>
      <c r="D39" s="14" t="n"/>
      <c r="E39" s="14" t="n"/>
      <c r="F39" s="14" t="n"/>
      <c r="G39" s="14" t="n"/>
    </row>
    <row r="40">
      <c r="A40" s="15" t="inlineStr">
        <is>
          <t>MACRO &amp; VALUATION</t>
        </is>
      </c>
      <c r="B40" s="16" t="n"/>
      <c r="C40" s="16" t="n"/>
      <c r="D40" s="16" t="n"/>
      <c r="E40" s="16" t="n"/>
      <c r="F40" s="16" t="n"/>
      <c r="G40" s="16" t="n"/>
    </row>
    <row r="41">
      <c r="A41" s="18" t="inlineStr">
        <is>
          <t>Effective tax rate</t>
        </is>
      </c>
      <c r="B41" s="21" t="n">
        <v>0</v>
      </c>
      <c r="C41" s="21" t="n">
        <v>0</v>
      </c>
      <c r="D41" s="21" t="n">
        <v>0.1</v>
      </c>
      <c r="E41" s="21" t="n">
        <v>0.2</v>
      </c>
      <c r="F41" s="21" t="n">
        <v>0.2</v>
      </c>
      <c r="G41" s="14" t="n"/>
    </row>
    <row r="42">
      <c r="A42" s="18" t="inlineStr">
        <is>
          <t>Discount rate (WACC)</t>
        </is>
      </c>
      <c r="B42" s="21" t="n">
        <v>0.18</v>
      </c>
      <c r="C42" s="14" t="n"/>
      <c r="D42" s="14" t="n"/>
      <c r="E42" s="14" t="n"/>
      <c r="F42" s="14" t="n"/>
      <c r="G42" s="14" t="n"/>
    </row>
    <row r="43">
      <c r="A43" s="12" t="inlineStr">
        <is>
          <t>Revenue multiple (mid)</t>
        </is>
      </c>
      <c r="B43" s="28" t="n">
        <v>10</v>
      </c>
      <c r="C43" s="28" t="n">
        <v>9.5</v>
      </c>
      <c r="D43" s="28" t="n">
        <v>7.5</v>
      </c>
      <c r="E43" s="28" t="n">
        <v>6.3</v>
      </c>
      <c r="F43" s="28" t="n">
        <v>6.3</v>
      </c>
      <c r="G43" s="14" t="n"/>
    </row>
    <row r="44">
      <c r="A44" s="18" t="inlineStr">
        <is>
          <t>EBITDA multiple</t>
        </is>
      </c>
      <c r="B44" s="29" t="n">
        <v>0</v>
      </c>
      <c r="C44" s="29" t="n">
        <v>0</v>
      </c>
      <c r="D44" s="29" t="n">
        <v>25</v>
      </c>
      <c r="E44" s="29" t="n">
        <v>18</v>
      </c>
      <c r="F44" s="29" t="n">
        <v>15</v>
      </c>
      <c r="G44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0" t="inlineStr">
        <is>
          <t>Mô hình Doanh thu (Triệu USD)</t>
        </is>
      </c>
      <c r="B1" s="11" t="n"/>
      <c r="C1" s="11" t="n"/>
      <c r="D1" s="11" t="n"/>
      <c r="E1" s="11" t="n"/>
      <c r="F1" s="11" t="n"/>
      <c r="G1" s="11" t="n"/>
      <c r="H1" s="11" t="n"/>
    </row>
    <row r="2">
      <c r="A2" s="12" t="inlineStr">
        <is>
          <t>Lane</t>
        </is>
      </c>
      <c r="B2" s="30" t="inlineStr">
        <is>
          <t>Description</t>
        </is>
      </c>
      <c r="C2" s="13" t="n">
        <v>2026</v>
      </c>
      <c r="D2" s="13" t="n">
        <v>2027</v>
      </c>
      <c r="E2" s="13" t="n">
        <v>2028</v>
      </c>
      <c r="F2" s="13" t="n">
        <v>2029</v>
      </c>
      <c r="G2" s="13" t="n">
        <v>2030</v>
      </c>
      <c r="H2" s="14" t="n"/>
    </row>
    <row r="3">
      <c r="A3" s="31" t="inlineStr">
        <is>
          <t>Annual Access subscription</t>
        </is>
      </c>
      <c r="B3" s="32" t="inlineStr">
        <is>
          <t>B2C subscription — Lifetime Unlock</t>
        </is>
      </c>
      <c r="C3" s="33">
        <f>'Giả định'!B5*'Giả định'!B13/1000000*0.5</f>
        <v/>
      </c>
      <c r="D3" s="33">
        <f>'Giả định'!C5*'Giả định'!C13/1000000*1.0</f>
        <v/>
      </c>
      <c r="E3" s="33">
        <f>'Giả định'!D5*'Giả định'!D13/1000000*1.0</f>
        <v/>
      </c>
      <c r="F3" s="33">
        <f>'Giả định'!E5*'Giả định'!E13/1000000*1.0</f>
        <v/>
      </c>
      <c r="G3" s="33">
        <f>'Giả định'!F5*'Giả định'!F13/1000000*1.0</f>
        <v/>
      </c>
      <c r="H3" s="14" t="n"/>
    </row>
    <row r="4">
      <c r="A4" s="31" t="inlineStr">
        <is>
          <t>Specialist Packs</t>
        </is>
      </c>
      <c r="B4" s="32" t="inlineStr">
        <is>
          <t>B2C mua một lần</t>
        </is>
      </c>
      <c r="C4" s="33">
        <f>'Giả định'!B5*'Giả định'!B20*'Giả định'!B14/1000000</f>
        <v/>
      </c>
      <c r="D4" s="33">
        <f>'Giả định'!C5*'Giả định'!C20*'Giả định'!C14/1000000</f>
        <v/>
      </c>
      <c r="E4" s="33">
        <f>'Giả định'!D5*'Giả định'!D20*'Giả định'!D14/1000000</f>
        <v/>
      </c>
      <c r="F4" s="33">
        <f>'Giả định'!E5*'Giả định'!E20*'Giả định'!E14/1000000</f>
        <v/>
      </c>
      <c r="G4" s="33">
        <f>'Giả định'!F5*'Giả định'!F20*'Giả định'!F14/1000000</f>
        <v/>
      </c>
      <c r="H4" s="14" t="n"/>
    </row>
    <row r="5">
      <c r="A5" s="31" t="inlineStr">
        <is>
          <t>Job Marketplace take-rate</t>
        </is>
      </c>
      <c r="B5" s="32" t="inlineStr">
        <is>
          <t>Phí escrow + payout</t>
        </is>
      </c>
      <c r="C5" s="33">
        <f>'Giả định'!B22*'Giả định'!B23</f>
        <v/>
      </c>
      <c r="D5" s="33">
        <f>'Giả định'!C22*'Giả định'!C23</f>
        <v/>
      </c>
      <c r="E5" s="33">
        <f>'Giả định'!D22*'Giả định'!D23</f>
        <v/>
      </c>
      <c r="F5" s="33">
        <f>'Giả định'!E22*'Giả định'!E23</f>
        <v/>
      </c>
      <c r="G5" s="33">
        <f>'Giả định'!F22*'Giả định'!F23</f>
        <v/>
      </c>
      <c r="H5" s="14" t="n"/>
    </row>
    <row r="6">
      <c r="A6" s="31" t="inlineStr">
        <is>
          <t>Phí Payout Ví</t>
        </is>
      </c>
      <c r="B6" s="32" t="inlineStr">
        <is>
          <t>Free-tier 2% rút tiền</t>
        </is>
      </c>
      <c r="C6" s="33">
        <f>'Giả định'!B24*'Giả định'!B25</f>
        <v/>
      </c>
      <c r="D6" s="33">
        <f>'Giả định'!C24*'Giả định'!C25</f>
        <v/>
      </c>
      <c r="E6" s="33">
        <f>'Giả định'!D24*'Giả định'!D25</f>
        <v/>
      </c>
      <c r="F6" s="33">
        <f>'Giả định'!E24*'Giả định'!E25</f>
        <v/>
      </c>
      <c r="G6" s="33">
        <f>'Giả định'!F24*'Giả định'!F25</f>
        <v/>
      </c>
      <c r="H6" s="14" t="n"/>
    </row>
    <row r="7">
      <c r="A7" s="31" t="inlineStr">
        <is>
          <t>Affiliate revenue share</t>
        </is>
      </c>
      <c r="B7" s="32" t="inlineStr">
        <is>
          <t>Hoa hồng pass-through</t>
        </is>
      </c>
      <c r="C7" s="33">
        <f>'Giả định'!B26</f>
        <v/>
      </c>
      <c r="D7" s="33">
        <f>'Giả định'!C26</f>
        <v/>
      </c>
      <c r="E7" s="33">
        <f>'Giả định'!D26</f>
        <v/>
      </c>
      <c r="F7" s="33">
        <f>'Giả định'!E26</f>
        <v/>
      </c>
      <c r="G7" s="33">
        <f>'Giả định'!F26</f>
        <v/>
      </c>
      <c r="H7" s="14" t="n"/>
    </row>
    <row r="8">
      <c r="A8" s="31" t="inlineStr">
        <is>
          <t>B2B Identity Verification API</t>
        </is>
      </c>
      <c r="B8" s="32" t="inlineStr">
        <is>
          <t>Phí mỗi verification</t>
        </is>
      </c>
      <c r="C8" s="33">
        <f>'Giả định'!B27*'Giả định'!B16</f>
        <v/>
      </c>
      <c r="D8" s="33">
        <f>'Giả định'!C27*'Giả định'!C16</f>
        <v/>
      </c>
      <c r="E8" s="33">
        <f>'Giả định'!D27*'Giả định'!D16</f>
        <v/>
      </c>
      <c r="F8" s="33">
        <f>'Giả định'!E27*'Giả định'!E16</f>
        <v/>
      </c>
      <c r="G8" s="33">
        <f>'Giả định'!F27*'Giả định'!F16</f>
        <v/>
      </c>
      <c r="H8" s="14" t="n"/>
    </row>
    <row r="9">
      <c r="A9" s="31" t="inlineStr">
        <is>
          <t>B2B VC Issuer Licensing</t>
        </is>
      </c>
      <c r="B9" s="32" t="inlineStr">
        <is>
          <t>License năm cho issuer</t>
        </is>
      </c>
      <c r="C9" s="33">
        <f>'Giả định'!B28*'Giả định'!B17/1000000</f>
        <v/>
      </c>
      <c r="D9" s="33">
        <f>'Giả định'!C28*'Giả định'!C17/1000000</f>
        <v/>
      </c>
      <c r="E9" s="33">
        <f>'Giả định'!D28*'Giả định'!D17/1000000</f>
        <v/>
      </c>
      <c r="F9" s="33">
        <f>'Giả định'!E28*'Giả định'!E17/1000000</f>
        <v/>
      </c>
      <c r="G9" s="33">
        <f>'Giả định'!F28*'Giả định'!F17/1000000</f>
        <v/>
      </c>
      <c r="H9" s="14" t="n"/>
    </row>
    <row r="10">
      <c r="A10" s="31" t="inlineStr">
        <is>
          <t>AI Tutor Premium</t>
        </is>
      </c>
      <c r="B10" s="32" t="inlineStr">
        <is>
          <t>Tutor hỗ trợ Anthropic</t>
        </is>
      </c>
      <c r="C10" s="33">
        <f>'Giả định'!B5*'Giả định'!B21*'Giả định'!B15/1000000</f>
        <v/>
      </c>
      <c r="D10" s="33">
        <f>'Giả định'!C5*'Giả định'!C21*'Giả định'!C15/1000000</f>
        <v/>
      </c>
      <c r="E10" s="33">
        <f>'Giả định'!D5*'Giả định'!D21*'Giả định'!D15/1000000</f>
        <v/>
      </c>
      <c r="F10" s="33">
        <f>'Giả định'!E5*'Giả định'!E21*'Giả định'!E15/1000000</f>
        <v/>
      </c>
      <c r="G10" s="33">
        <f>'Giả định'!F5*'Giả định'!F21*'Giả định'!F15/1000000</f>
        <v/>
      </c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34" t="inlineStr">
        <is>
          <t>Tổng doanh thu</t>
        </is>
      </c>
      <c r="B12" s="11" t="n"/>
      <c r="C12" s="35">
        <f>SUM(C3:C10)</f>
        <v/>
      </c>
      <c r="D12" s="35">
        <f>SUM(D3:D10)</f>
        <v/>
      </c>
      <c r="E12" s="35">
        <f>SUM(E3:E10)</f>
        <v/>
      </c>
      <c r="F12" s="35">
        <f>SUM(F3:F10)</f>
        <v/>
      </c>
      <c r="G12" s="35">
        <f>SUM(G3:G10)</f>
        <v/>
      </c>
      <c r="H12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6" t="inlineStr">
        <is>
          <t>Phân tích Chi phí Vận hành</t>
        </is>
      </c>
      <c r="B1" s="11" t="n"/>
      <c r="C1" s="11" t="n"/>
      <c r="D1" s="11" t="n"/>
      <c r="E1" s="11" t="n"/>
      <c r="F1" s="11" t="n"/>
      <c r="G1" s="11" t="n"/>
    </row>
    <row r="2">
      <c r="A2" s="12" t="inlineStr">
        <is>
          <t>Item</t>
        </is>
      </c>
      <c r="B2" s="13" t="n">
        <v>2026</v>
      </c>
      <c r="C2" s="13" t="n">
        <v>2027</v>
      </c>
      <c r="D2" s="13" t="n">
        <v>2028</v>
      </c>
      <c r="E2" s="13" t="n">
        <v>2029</v>
      </c>
      <c r="F2" s="13" t="n">
        <v>2030</v>
      </c>
      <c r="G2" s="14" t="n"/>
    </row>
    <row r="3">
      <c r="A3" s="18" t="inlineStr">
        <is>
          <t>Hạ tầng (Cloudflare, KV, monitoring)</t>
        </is>
      </c>
      <c r="B3" s="37">
        <f>'Mô hình Doanh thu'!C12*'Giả định'!B35*('Giả định'!B31/'Giả định'!B35)</f>
        <v/>
      </c>
      <c r="C3" s="37">
        <f>'Mô hình Doanh thu'!D12*'Giả định'!C35*('Giả định'!C31/'Giả định'!C35)</f>
        <v/>
      </c>
      <c r="D3" s="37">
        <f>'Mô hình Doanh thu'!E12*'Giả định'!D35*('Giả định'!D31/'Giả định'!D35)</f>
        <v/>
      </c>
      <c r="E3" s="37">
        <f>'Mô hình Doanh thu'!F12*'Giả định'!E35*('Giả định'!E31/'Giả định'!E35)</f>
        <v/>
      </c>
      <c r="F3" s="37">
        <f>'Mô hình Doanh thu'!G12*'Giả định'!F35*('Giả định'!F31/'Giả định'!F35)</f>
        <v/>
      </c>
      <c r="G3" s="14" t="n"/>
    </row>
    <row r="4">
      <c r="A4" s="18" t="inlineStr">
        <is>
          <t>Xử lý thanh toán (Stripe/PayPal)</t>
        </is>
      </c>
      <c r="B4" s="37">
        <f>'Mô hình Doanh thu'!C12*'Giả định'!B32</f>
        <v/>
      </c>
      <c r="C4" s="37">
        <f>'Mô hình Doanh thu'!D12*'Giả định'!C32</f>
        <v/>
      </c>
      <c r="D4" s="37">
        <f>'Mô hình Doanh thu'!E12*'Giả định'!D32</f>
        <v/>
      </c>
      <c r="E4" s="37">
        <f>'Mô hình Doanh thu'!F12*'Giả định'!E32</f>
        <v/>
      </c>
      <c r="F4" s="37">
        <f>'Mô hình Doanh thu'!G12*'Giả định'!F32</f>
        <v/>
      </c>
      <c r="G4" s="14" t="n"/>
    </row>
    <row r="5">
      <c r="A5" s="18" t="inlineStr">
        <is>
          <t>KYC + xác minh danh tính</t>
        </is>
      </c>
      <c r="B5" s="37">
        <f>'Mô hình Doanh thu'!C12*'Giả định'!B33</f>
        <v/>
      </c>
      <c r="C5" s="37">
        <f>'Mô hình Doanh thu'!D12*'Giả định'!C33</f>
        <v/>
      </c>
      <c r="D5" s="37">
        <f>'Mô hình Doanh thu'!E12*'Giả định'!D33</f>
        <v/>
      </c>
      <c r="E5" s="37">
        <f>'Mô hình Doanh thu'!F12*'Giả định'!E33</f>
        <v/>
      </c>
      <c r="F5" s="37">
        <f>'Mô hình Doanh thu'!G12*'Giả định'!F33</f>
        <v/>
      </c>
      <c r="G5" s="14" t="n"/>
    </row>
    <row r="6">
      <c r="A6" s="18" t="inlineStr">
        <is>
          <t>COGS khác (support, content, misc)</t>
        </is>
      </c>
      <c r="B6" s="37">
        <f>'Mô hình Doanh thu'!C12*'Giả định'!B34</f>
        <v/>
      </c>
      <c r="C6" s="37">
        <f>'Mô hình Doanh thu'!D12*'Giả định'!C34</f>
        <v/>
      </c>
      <c r="D6" s="37">
        <f>'Mô hình Doanh thu'!E12*'Giả định'!D34</f>
        <v/>
      </c>
      <c r="E6" s="37">
        <f>'Mô hình Doanh thu'!F12*'Giả định'!E34</f>
        <v/>
      </c>
      <c r="F6" s="37">
        <f>'Mô hình Doanh thu'!G12*'Giả định'!F34</f>
        <v/>
      </c>
      <c r="G6" s="14" t="n"/>
    </row>
    <row r="7">
      <c r="A7" s="34" t="inlineStr">
        <is>
          <t>Tổng COGS</t>
        </is>
      </c>
      <c r="B7" s="35">
        <f>'Mô hình Doanh thu'!C12*'Giả định'!B35</f>
        <v/>
      </c>
      <c r="C7" s="35">
        <f>'Mô hình Doanh thu'!D12*'Giả định'!C35</f>
        <v/>
      </c>
      <c r="D7" s="35">
        <f>'Mô hình Doanh thu'!E12*'Giả định'!D35</f>
        <v/>
      </c>
      <c r="E7" s="35">
        <f>'Mô hình Doanh thu'!F12*'Giả định'!E35</f>
        <v/>
      </c>
      <c r="F7" s="35">
        <f>'Mô hình Doanh thu'!G12*'Giả định'!F35</f>
        <v/>
      </c>
      <c r="G7" s="14" t="n"/>
    </row>
    <row r="8">
      <c r="A8" s="18" t="inlineStr">
        <is>
          <t>Sales &amp; Marketing</t>
        </is>
      </c>
      <c r="B8" s="37">
        <f>'Mô hình Doanh thu'!C12*'Giả định'!B36</f>
        <v/>
      </c>
      <c r="C8" s="37">
        <f>'Mô hình Doanh thu'!D12*'Giả định'!C36</f>
        <v/>
      </c>
      <c r="D8" s="37">
        <f>'Mô hình Doanh thu'!E12*'Giả định'!D36</f>
        <v/>
      </c>
      <c r="E8" s="37">
        <f>'Mô hình Doanh thu'!F12*'Giả định'!E36</f>
        <v/>
      </c>
      <c r="F8" s="37">
        <f>'Mô hình Doanh thu'!G12*'Giả định'!F36</f>
        <v/>
      </c>
      <c r="G8" s="14" t="n"/>
    </row>
    <row r="9">
      <c r="A9" s="18" t="inlineStr">
        <is>
          <t>R&amp;D / Kỹ thuật</t>
        </is>
      </c>
      <c r="B9" s="37">
        <f>'Mô hình Doanh thu'!C12*'Giả định'!B37</f>
        <v/>
      </c>
      <c r="C9" s="37">
        <f>'Mô hình Doanh thu'!D12*'Giả định'!C37</f>
        <v/>
      </c>
      <c r="D9" s="37">
        <f>'Mô hình Doanh thu'!E12*'Giả định'!D37</f>
        <v/>
      </c>
      <c r="E9" s="37">
        <f>'Mô hình Doanh thu'!F12*'Giả định'!E37</f>
        <v/>
      </c>
      <c r="F9" s="37">
        <f>'Mô hình Doanh thu'!G12*'Giả định'!F37</f>
        <v/>
      </c>
      <c r="G9" s="14" t="n"/>
    </row>
    <row r="10">
      <c r="A10" s="18" t="inlineStr">
        <is>
          <t>G&amp;A</t>
        </is>
      </c>
      <c r="B10" s="37">
        <f>'Mô hình Doanh thu'!C12*'Giả định'!B38</f>
        <v/>
      </c>
      <c r="C10" s="37">
        <f>'Mô hình Doanh thu'!D12*'Giả định'!C38</f>
        <v/>
      </c>
      <c r="D10" s="37">
        <f>'Mô hình Doanh thu'!E12*'Giả định'!D38</f>
        <v/>
      </c>
      <c r="E10" s="37">
        <f>'Mô hình Doanh thu'!F12*'Giả định'!E38</f>
        <v/>
      </c>
      <c r="F10" s="37">
        <f>'Mô hình Doanh thu'!G12*'Giả định'!F38</f>
        <v/>
      </c>
      <c r="G10" s="14" t="n"/>
    </row>
    <row r="11">
      <c r="A11" s="34" t="inlineStr">
        <is>
          <t>Tổng Chi phí Vận hành</t>
        </is>
      </c>
      <c r="B11" s="35">
        <f>'Mô hình Doanh thu'!C12*('Giả định'!B36+'Giả định'!B37+'Giả định'!B38)</f>
        <v/>
      </c>
      <c r="C11" s="35">
        <f>'Mô hình Doanh thu'!D12*('Giả định'!C36+'Giả định'!C37+'Giả định'!C38)</f>
        <v/>
      </c>
      <c r="D11" s="35">
        <f>'Mô hình Doanh thu'!E12*('Giả định'!D36+'Giả định'!D37+'Giả định'!D38)</f>
        <v/>
      </c>
      <c r="E11" s="35">
        <f>'Mô hình Doanh thu'!F12*('Giả định'!E36+'Giả định'!E37+'Giả định'!E38)</f>
        <v/>
      </c>
      <c r="F11" s="35">
        <f>'Mô hình Doanh thu'!G12*('Giả định'!F36+'Giả định'!F37+'Giả định'!F38)</f>
        <v/>
      </c>
      <c r="G11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6" t="inlineStr">
        <is>
          <t>Báo cáo Lãi Lỗ</t>
        </is>
      </c>
      <c r="B1" s="11" t="n"/>
      <c r="C1" s="11" t="n"/>
      <c r="D1" s="11" t="n"/>
      <c r="E1" s="11" t="n"/>
      <c r="F1" s="11" t="n"/>
      <c r="G1" s="11" t="n"/>
    </row>
    <row r="2">
      <c r="A2" s="12" t="inlineStr">
        <is>
          <t>Item</t>
        </is>
      </c>
      <c r="B2" s="13" t="n">
        <v>2026</v>
      </c>
      <c r="C2" s="13" t="n">
        <v>2027</v>
      </c>
      <c r="D2" s="13" t="n">
        <v>2028</v>
      </c>
      <c r="E2" s="13" t="n">
        <v>2029</v>
      </c>
      <c r="F2" s="13" t="n">
        <v>2030</v>
      </c>
      <c r="G2" s="14" t="n"/>
    </row>
    <row r="3">
      <c r="A3" s="12" t="inlineStr">
        <is>
          <t>Doanh thu</t>
        </is>
      </c>
      <c r="B3" s="33">
        <f>'Mô hình Doanh thu'!C12</f>
        <v/>
      </c>
      <c r="C3" s="33">
        <f>'Mô hình Doanh thu'!D12</f>
        <v/>
      </c>
      <c r="D3" s="33">
        <f>'Mô hình Doanh thu'!E12</f>
        <v/>
      </c>
      <c r="E3" s="33">
        <f>'Mô hình Doanh thu'!F12</f>
        <v/>
      </c>
      <c r="F3" s="33">
        <f>'Mô hình Doanh thu'!G12</f>
        <v/>
      </c>
      <c r="G3" s="14" t="n"/>
    </row>
    <row r="4">
      <c r="A4" s="18" t="inlineStr">
        <is>
          <t>COGS (hạ tầng + thanh toán + KYC)</t>
        </is>
      </c>
      <c r="B4" s="37">
        <f>B3*'Giả định'!B35</f>
        <v/>
      </c>
      <c r="C4" s="37">
        <f>C3*'Giả định'!C35</f>
        <v/>
      </c>
      <c r="D4" s="37">
        <f>D3*'Giả định'!D35</f>
        <v/>
      </c>
      <c r="E4" s="37">
        <f>E3*'Giả định'!E35</f>
        <v/>
      </c>
      <c r="F4" s="37">
        <f>F3*'Giả định'!F35</f>
        <v/>
      </c>
      <c r="G4" s="14" t="n"/>
    </row>
    <row r="5">
      <c r="A5" s="12" t="inlineStr">
        <is>
          <t>Lãi gộp</t>
        </is>
      </c>
      <c r="B5" s="37">
        <f>B3-B4</f>
        <v/>
      </c>
      <c r="C5" s="37">
        <f>C3-C4</f>
        <v/>
      </c>
      <c r="D5" s="37">
        <f>D3-D4</f>
        <v/>
      </c>
      <c r="E5" s="37">
        <f>E3-E4</f>
        <v/>
      </c>
      <c r="F5" s="37">
        <f>F3-F4</f>
        <v/>
      </c>
      <c r="G5" s="14" t="n"/>
    </row>
    <row r="6">
      <c r="A6" s="18" t="inlineStr">
        <is>
          <t>Biên gộp %</t>
        </is>
      </c>
      <c r="B6" s="20">
        <f>IF(B3=0,0,B5/B3)</f>
        <v/>
      </c>
      <c r="C6" s="20">
        <f>IF(C3=0,0,C5/C3)</f>
        <v/>
      </c>
      <c r="D6" s="20">
        <f>IF(D3=0,0,D5/D3)</f>
        <v/>
      </c>
      <c r="E6" s="20">
        <f>IF(E3=0,0,E5/E3)</f>
        <v/>
      </c>
      <c r="F6" s="20">
        <f>IF(F3=0,0,F5/F3)</f>
        <v/>
      </c>
      <c r="G6" s="14" t="n"/>
    </row>
    <row r="7">
      <c r="A7" s="18" t="inlineStr">
        <is>
          <t>Sales &amp; Marketing</t>
        </is>
      </c>
      <c r="B7" s="37">
        <f>B3*'Giả định'!B36</f>
        <v/>
      </c>
      <c r="C7" s="37">
        <f>C3*'Giả định'!C36</f>
        <v/>
      </c>
      <c r="D7" s="37">
        <f>D3*'Giả định'!D36</f>
        <v/>
      </c>
      <c r="E7" s="37">
        <f>E3*'Giả định'!E36</f>
        <v/>
      </c>
      <c r="F7" s="37">
        <f>F3*'Giả định'!F36</f>
        <v/>
      </c>
      <c r="G7" s="14" t="n"/>
    </row>
    <row r="8">
      <c r="A8" s="18" t="inlineStr">
        <is>
          <t>R&amp;D / Kỹ thuật</t>
        </is>
      </c>
      <c r="B8" s="37">
        <f>B3*'Giả định'!B37</f>
        <v/>
      </c>
      <c r="C8" s="37">
        <f>C3*'Giả định'!C37</f>
        <v/>
      </c>
      <c r="D8" s="37">
        <f>D3*'Giả định'!D37</f>
        <v/>
      </c>
      <c r="E8" s="37">
        <f>E3*'Giả định'!E37</f>
        <v/>
      </c>
      <c r="F8" s="37">
        <f>F3*'Giả định'!F37</f>
        <v/>
      </c>
      <c r="G8" s="14" t="n"/>
    </row>
    <row r="9">
      <c r="A9" s="18" t="inlineStr">
        <is>
          <t>G&amp;A</t>
        </is>
      </c>
      <c r="B9" s="37">
        <f>B3*'Giả định'!B38</f>
        <v/>
      </c>
      <c r="C9" s="37">
        <f>C3*'Giả định'!C38</f>
        <v/>
      </c>
      <c r="D9" s="37">
        <f>D3*'Giả định'!D38</f>
        <v/>
      </c>
      <c r="E9" s="37">
        <f>E3*'Giả định'!E38</f>
        <v/>
      </c>
      <c r="F9" s="37">
        <f>F3*'Giả định'!F38</f>
        <v/>
      </c>
      <c r="G9" s="14" t="n"/>
    </row>
    <row r="10">
      <c r="A10" s="12" t="inlineStr">
        <is>
          <t>Tổng Opex</t>
        </is>
      </c>
      <c r="B10" s="37">
        <f>B7+B8+B9</f>
        <v/>
      </c>
      <c r="C10" s="37">
        <f>C7+C8+C9</f>
        <v/>
      </c>
      <c r="D10" s="37">
        <f>D7+D8+D9</f>
        <v/>
      </c>
      <c r="E10" s="37">
        <f>E7+E8+E9</f>
        <v/>
      </c>
      <c r="F10" s="37">
        <f>F7+F8+F9</f>
        <v/>
      </c>
      <c r="G10" s="14" t="n"/>
    </row>
    <row r="11">
      <c r="A11" s="34" t="inlineStr">
        <is>
          <t>EBITDA</t>
        </is>
      </c>
      <c r="B11" s="35">
        <f>B5-B10</f>
        <v/>
      </c>
      <c r="C11" s="35">
        <f>C5-C10</f>
        <v/>
      </c>
      <c r="D11" s="35">
        <f>D5-D10</f>
        <v/>
      </c>
      <c r="E11" s="35">
        <f>E5-E10</f>
        <v/>
      </c>
      <c r="F11" s="35">
        <f>F5-F10</f>
        <v/>
      </c>
      <c r="G11" s="14" t="n"/>
    </row>
    <row r="12">
      <c r="A12" s="18" t="inlineStr">
        <is>
          <t>Biên EBITDA %</t>
        </is>
      </c>
      <c r="B12" s="20">
        <f>IF(B3=0,0,B11/B3)</f>
        <v/>
      </c>
      <c r="C12" s="20">
        <f>IF(C3=0,0,C11/C3)</f>
        <v/>
      </c>
      <c r="D12" s="20">
        <f>IF(D3=0,0,D11/D3)</f>
        <v/>
      </c>
      <c r="E12" s="20">
        <f>IF(E3=0,0,E11/E3)</f>
        <v/>
      </c>
      <c r="F12" s="20">
        <f>IF(F3=0,0,F11/F3)</f>
        <v/>
      </c>
      <c r="G12" s="14" t="n"/>
    </row>
    <row r="13">
      <c r="A13" s="18" t="inlineStr">
        <is>
          <t>Khấu hao</t>
        </is>
      </c>
      <c r="B13" s="25" t="n">
        <v>0.02</v>
      </c>
      <c r="C13" s="25" t="n">
        <v>0.05</v>
      </c>
      <c r="D13" s="25" t="n">
        <v>0.15</v>
      </c>
      <c r="E13" s="25" t="n">
        <v>0.4</v>
      </c>
      <c r="F13" s="25" t="n">
        <v>0.9</v>
      </c>
      <c r="G13" s="14" t="n"/>
    </row>
    <row r="14">
      <c r="A14" s="12" t="inlineStr">
        <is>
          <t>EBIT</t>
        </is>
      </c>
      <c r="B14" s="37">
        <f>B11-B13</f>
        <v/>
      </c>
      <c r="C14" s="37">
        <f>C11-C13</f>
        <v/>
      </c>
      <c r="D14" s="37">
        <f>D11-D13</f>
        <v/>
      </c>
      <c r="E14" s="37">
        <f>E11-E13</f>
        <v/>
      </c>
      <c r="F14" s="37">
        <f>F11-F13</f>
        <v/>
      </c>
      <c r="G14" s="14" t="n"/>
    </row>
    <row r="15">
      <c r="A15" s="18" t="inlineStr">
        <is>
          <t>Chi phí lãi vay</t>
        </is>
      </c>
      <c r="B15" s="25" t="n">
        <v>0</v>
      </c>
      <c r="C15" s="25" t="n">
        <v>0</v>
      </c>
      <c r="D15" s="25" t="n">
        <v>0</v>
      </c>
      <c r="E15" s="25" t="n">
        <v>0</v>
      </c>
      <c r="F15" s="25" t="n">
        <v>0</v>
      </c>
      <c r="G15" s="14" t="n"/>
    </row>
    <row r="16">
      <c r="A16" s="18" t="inlineStr">
        <is>
          <t>Thuế</t>
        </is>
      </c>
      <c r="B16" s="37">
        <f>MAX(0,B14-B15)*'Giả định'!B41</f>
        <v/>
      </c>
      <c r="C16" s="37">
        <f>MAX(0,C14-C15)*'Giả định'!C41</f>
        <v/>
      </c>
      <c r="D16" s="37">
        <f>MAX(0,D14-D15)*'Giả định'!D41</f>
        <v/>
      </c>
      <c r="E16" s="37">
        <f>MAX(0,E14-E15)*'Giả định'!E41</f>
        <v/>
      </c>
      <c r="F16" s="37">
        <f>MAX(0,F14-F15)*'Giả định'!F41</f>
        <v/>
      </c>
      <c r="G16" s="14" t="n"/>
    </row>
    <row r="17">
      <c r="A17" s="34" t="inlineStr">
        <is>
          <t>Lãi ròng</t>
        </is>
      </c>
      <c r="B17" s="35">
        <f>B14-B15-B16</f>
        <v/>
      </c>
      <c r="C17" s="35">
        <f>C14-C15-C16</f>
        <v/>
      </c>
      <c r="D17" s="35">
        <f>D14-D15-D16</f>
        <v/>
      </c>
      <c r="E17" s="35">
        <f>E14-E15-E16</f>
        <v/>
      </c>
      <c r="F17" s="35">
        <f>F14-F15-F16</f>
        <v/>
      </c>
      <c r="G17" s="14" t="n"/>
    </row>
    <row r="18">
      <c r="A18" s="18" t="inlineStr">
        <is>
          <t>Biên ròng %</t>
        </is>
      </c>
      <c r="B18" s="20">
        <f>IF(B3=0,0,B17/B3)</f>
        <v/>
      </c>
      <c r="C18" s="20">
        <f>IF(C3=0,0,C17/C3)</f>
        <v/>
      </c>
      <c r="D18" s="20">
        <f>IF(D3=0,0,D17/D3)</f>
        <v/>
      </c>
      <c r="E18" s="20">
        <f>IF(E3=0,0,E17/E3)</f>
        <v/>
      </c>
      <c r="F18" s="20">
        <f>IF(F3=0,0,F17/F3)</f>
        <v/>
      </c>
      <c r="G18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6" t="inlineStr">
        <is>
          <t>Báo cáo Dòng tiền</t>
        </is>
      </c>
      <c r="B1" s="11" t="n"/>
      <c r="C1" s="11" t="n"/>
      <c r="D1" s="11" t="n"/>
      <c r="E1" s="11" t="n"/>
      <c r="F1" s="11" t="n"/>
      <c r="G1" s="11" t="n"/>
    </row>
    <row r="2">
      <c r="A2" s="12" t="inlineStr">
        <is>
          <t>Item</t>
        </is>
      </c>
      <c r="B2" s="13" t="n">
        <v>2026</v>
      </c>
      <c r="C2" s="13" t="n">
        <v>2027</v>
      </c>
      <c r="D2" s="13" t="n">
        <v>2028</v>
      </c>
      <c r="E2" s="13" t="n">
        <v>2029</v>
      </c>
      <c r="F2" s="13" t="n">
        <v>2030</v>
      </c>
      <c r="G2" s="14" t="n"/>
    </row>
    <row r="3">
      <c r="A3" s="12" t="inlineStr">
        <is>
          <t>Lãi ròng</t>
        </is>
      </c>
      <c r="B3" s="33">
        <f>'Lãi-Lỗ'!B17</f>
        <v/>
      </c>
      <c r="C3" s="33">
        <f>'Lãi-Lỗ'!C17</f>
        <v/>
      </c>
      <c r="D3" s="33">
        <f>'Lãi-Lỗ'!D17</f>
        <v/>
      </c>
      <c r="E3" s="33">
        <f>'Lãi-Lỗ'!E17</f>
        <v/>
      </c>
      <c r="F3" s="33">
        <f>'Lãi-Lỗ'!F17</f>
        <v/>
      </c>
      <c r="G3" s="14" t="n"/>
    </row>
    <row r="4">
      <c r="A4" s="18" t="inlineStr">
        <is>
          <t>+ Khấu hao</t>
        </is>
      </c>
      <c r="B4" s="33">
        <f>'Lãi-Lỗ'!B13</f>
        <v/>
      </c>
      <c r="C4" s="33">
        <f>'Lãi-Lỗ'!C13</f>
        <v/>
      </c>
      <c r="D4" s="33">
        <f>'Lãi-Lỗ'!D13</f>
        <v/>
      </c>
      <c r="E4" s="33">
        <f>'Lãi-Lỗ'!E13</f>
        <v/>
      </c>
      <c r="F4" s="33">
        <f>'Lãi-Lỗ'!F13</f>
        <v/>
      </c>
      <c r="G4" s="14" t="n"/>
    </row>
    <row r="5">
      <c r="A5" s="18" t="inlineStr">
        <is>
          <t>+ Thay đổi vốn lưu động</t>
        </is>
      </c>
      <c r="B5" s="25" t="n">
        <v>-0.04</v>
      </c>
      <c r="C5" s="37">
        <f>-('Mô hình Doanh thu'!D12-'Mô hình Doanh thu'!C12)*0.05</f>
        <v/>
      </c>
      <c r="D5" s="37">
        <f>-('Mô hình Doanh thu'!E12-'Mô hình Doanh thu'!D12)*0.05</f>
        <v/>
      </c>
      <c r="E5" s="37">
        <f>-('Mô hình Doanh thu'!F12-'Mô hình Doanh thu'!E12)*0.05</f>
        <v/>
      </c>
      <c r="F5" s="37">
        <f>-('Mô hình Doanh thu'!G12-'Mô hình Doanh thu'!F12)*0.05</f>
        <v/>
      </c>
      <c r="G5" s="14" t="n"/>
    </row>
    <row r="6">
      <c r="A6" s="12" t="inlineStr">
        <is>
          <t>Dòng tiền hoạt động</t>
        </is>
      </c>
      <c r="B6" s="37">
        <f>B3+B4+B5</f>
        <v/>
      </c>
      <c r="C6" s="37">
        <f>C3+C4+C5</f>
        <v/>
      </c>
      <c r="D6" s="37">
        <f>D3+D4+D5</f>
        <v/>
      </c>
      <c r="E6" s="37">
        <f>E3+E4+E5</f>
        <v/>
      </c>
      <c r="F6" s="37">
        <f>F3+F4+F5</f>
        <v/>
      </c>
      <c r="G6" s="14" t="n"/>
    </row>
    <row r="7">
      <c r="A7" s="18" t="inlineStr">
        <is>
          <t>CapEx</t>
        </is>
      </c>
      <c r="B7" s="25" t="n">
        <v>-0.1</v>
      </c>
      <c r="C7" s="25" t="n">
        <v>-0.3</v>
      </c>
      <c r="D7" s="25" t="n">
        <v>-0.8</v>
      </c>
      <c r="E7" s="25" t="n">
        <v>-2</v>
      </c>
      <c r="F7" s="25" t="n">
        <v>-4.5</v>
      </c>
      <c r="G7" s="14" t="n"/>
    </row>
    <row r="8">
      <c r="A8" s="18" t="inlineStr">
        <is>
          <t>Dòng tiền đầu tư</t>
        </is>
      </c>
      <c r="B8" s="37">
        <f>B7</f>
        <v/>
      </c>
      <c r="C8" s="37">
        <f>C7</f>
        <v/>
      </c>
      <c r="D8" s="37">
        <f>D7</f>
        <v/>
      </c>
      <c r="E8" s="37">
        <f>E7</f>
        <v/>
      </c>
      <c r="F8" s="37">
        <f>F7</f>
        <v/>
      </c>
      <c r="G8" s="14" t="n"/>
    </row>
    <row r="9">
      <c r="A9" s="18" t="inlineStr">
        <is>
          <t>Huy động vốn cổ phần</t>
        </is>
      </c>
      <c r="B9" s="25" t="n">
        <v>3</v>
      </c>
      <c r="C9" s="25" t="n">
        <v>0</v>
      </c>
      <c r="D9" s="25" t="n">
        <v>12</v>
      </c>
      <c r="E9" s="25" t="n">
        <v>0</v>
      </c>
      <c r="F9" s="25" t="n">
        <v>0</v>
      </c>
      <c r="G9" s="14" t="n"/>
    </row>
    <row r="10">
      <c r="A10" s="18" t="inlineStr">
        <is>
          <t>Dòng tiền tài chính</t>
        </is>
      </c>
      <c r="B10" s="37">
        <f>B9</f>
        <v/>
      </c>
      <c r="C10" s="37">
        <f>C9</f>
        <v/>
      </c>
      <c r="D10" s="37">
        <f>D9</f>
        <v/>
      </c>
      <c r="E10" s="37">
        <f>E9</f>
        <v/>
      </c>
      <c r="F10" s="37">
        <f>F9</f>
        <v/>
      </c>
      <c r="G10" s="14" t="n"/>
    </row>
    <row r="11">
      <c r="A11" s="12" t="inlineStr">
        <is>
          <t>Thay đổi tiền ròng</t>
        </is>
      </c>
      <c r="B11" s="37">
        <f>B6+B8+B10</f>
        <v/>
      </c>
      <c r="C11" s="37">
        <f>C6+C8+C10</f>
        <v/>
      </c>
      <c r="D11" s="37">
        <f>D6+D8+D10</f>
        <v/>
      </c>
      <c r="E11" s="37">
        <f>E6+E8+E10</f>
        <v/>
      </c>
      <c r="F11" s="37">
        <f>F6+F8+F10</f>
        <v/>
      </c>
      <c r="G11" s="14" t="n"/>
    </row>
    <row r="12">
      <c r="A12" s="18" t="inlineStr">
        <is>
          <t>Tiền đầu kỳ</t>
        </is>
      </c>
      <c r="B12" s="25" t="n">
        <v>0.2</v>
      </c>
      <c r="C12" s="37">
        <f>B13</f>
        <v/>
      </c>
      <c r="D12" s="37">
        <f>C13</f>
        <v/>
      </c>
      <c r="E12" s="37">
        <f>D13</f>
        <v/>
      </c>
      <c r="F12" s="37">
        <f>E13</f>
        <v/>
      </c>
      <c r="G12" s="14" t="n"/>
    </row>
    <row r="13">
      <c r="A13" s="34" t="inlineStr">
        <is>
          <t>Tiền cuối kỳ</t>
        </is>
      </c>
      <c r="B13" s="35">
        <f>B12+B11</f>
        <v/>
      </c>
      <c r="C13" s="35">
        <f>C12+C11</f>
        <v/>
      </c>
      <c r="D13" s="35">
        <f>D12+D11</f>
        <v/>
      </c>
      <c r="E13" s="35">
        <f>E12+E11</f>
        <v/>
      </c>
      <c r="F13" s="35">
        <f>F12+F11</f>
        <v/>
      </c>
      <c r="G13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6" t="inlineStr">
        <is>
          <t>KPI Tóm tắt</t>
        </is>
      </c>
      <c r="B1" s="11" t="n"/>
      <c r="C1" s="11" t="n"/>
      <c r="D1" s="11" t="n"/>
      <c r="E1" s="11" t="n"/>
      <c r="F1" s="11" t="n"/>
      <c r="G1" s="11" t="n"/>
    </row>
    <row r="2">
      <c r="A2" s="12" t="inlineStr">
        <is>
          <t>Metric</t>
        </is>
      </c>
      <c r="B2" s="13" t="n">
        <v>2026</v>
      </c>
      <c r="C2" s="13" t="n">
        <v>2027</v>
      </c>
      <c r="D2" s="13" t="n">
        <v>2028</v>
      </c>
      <c r="E2" s="13" t="n">
        <v>2029</v>
      </c>
      <c r="F2" s="13" t="n">
        <v>2030</v>
      </c>
      <c r="G2" s="14" t="n"/>
    </row>
    <row r="3">
      <c r="A3" s="12" t="inlineStr">
        <is>
          <t>Thành viên trả phí (cuối năm)</t>
        </is>
      </c>
      <c r="B3" s="38">
        <f>'Giả định'!B5</f>
        <v/>
      </c>
      <c r="C3" s="38">
        <f>'Giả định'!C5</f>
        <v/>
      </c>
      <c r="D3" s="38">
        <f>'Giả định'!D5</f>
        <v/>
      </c>
      <c r="E3" s="38">
        <f>'Giả định'!E5</f>
        <v/>
      </c>
      <c r="F3" s="38">
        <f>'Giả định'!F5</f>
        <v/>
      </c>
      <c r="G3" s="14" t="n"/>
    </row>
    <row r="4">
      <c r="A4" s="18" t="inlineStr">
        <is>
          <t>Thành viên miễn phí (cuối năm)</t>
        </is>
      </c>
      <c r="B4" s="38">
        <f>'Giả định'!B6</f>
        <v/>
      </c>
      <c r="C4" s="38">
        <f>'Giả định'!C6</f>
        <v/>
      </c>
      <c r="D4" s="38">
        <f>'Giả định'!D6</f>
        <v/>
      </c>
      <c r="E4" s="38">
        <f>'Giả định'!E6</f>
        <v/>
      </c>
      <c r="F4" s="38">
        <f>'Giả định'!F6</f>
        <v/>
      </c>
      <c r="G4" s="14" t="n"/>
    </row>
    <row r="5">
      <c r="A5" s="18" t="inlineStr">
        <is>
          <t>Tổng thành viên</t>
        </is>
      </c>
      <c r="B5" s="38">
        <f>'Giả định'!B5+'Giả định'!B6</f>
        <v/>
      </c>
      <c r="C5" s="38">
        <f>'Giả định'!C5+'Giả định'!C6</f>
        <v/>
      </c>
      <c r="D5" s="38">
        <f>'Giả định'!D5+'Giả định'!D6</f>
        <v/>
      </c>
      <c r="E5" s="38">
        <f>'Giả định'!E5+'Giả định'!E6</f>
        <v/>
      </c>
      <c r="F5" s="38">
        <f>'Giả định'!F5+'Giả định'!F6</f>
        <v/>
      </c>
      <c r="G5" s="14" t="n"/>
    </row>
    <row r="6">
      <c r="A6" s="12" t="inlineStr">
        <is>
          <t>ARPU trả phí (USD)</t>
        </is>
      </c>
      <c r="B6" s="39">
        <f>IF('Giả định'!B5=0,0,'Mô hình Doanh thu'!C12*1000000/'Giả định'!B5)</f>
        <v/>
      </c>
      <c r="C6" s="39">
        <f>IF('Giả định'!C5=0,0,'Mô hình Doanh thu'!D12*1000000/'Giả định'!C5)</f>
        <v/>
      </c>
      <c r="D6" s="39">
        <f>IF('Giả định'!D5=0,0,'Mô hình Doanh thu'!E12*1000000/'Giả định'!D5)</f>
        <v/>
      </c>
      <c r="E6" s="39">
        <f>IF('Giả định'!E5=0,0,'Mô hình Doanh thu'!F12*1000000/'Giả định'!E5)</f>
        <v/>
      </c>
      <c r="F6" s="39">
        <f>IF('Giả định'!F5=0,0,'Mô hình Doanh thu'!G12*1000000/'Giả định'!F5)</f>
        <v/>
      </c>
      <c r="G6" s="14" t="n"/>
    </row>
    <row r="7">
      <c r="A7" s="18" t="inlineStr">
        <is>
          <t>Tỷ lệ free→paid</t>
        </is>
      </c>
      <c r="B7" s="40">
        <f>'Giả định'!B9</f>
        <v/>
      </c>
      <c r="C7" s="40">
        <f>'Giả định'!C9</f>
        <v/>
      </c>
      <c r="D7" s="40">
        <f>'Giả định'!D9</f>
        <v/>
      </c>
      <c r="E7" s="40">
        <f>'Giả định'!E9</f>
        <v/>
      </c>
      <c r="F7" s="40">
        <f>'Giả định'!F9</f>
        <v/>
      </c>
      <c r="G7" s="14" t="n"/>
    </row>
    <row r="8">
      <c r="A8" s="18" t="inlineStr">
        <is>
          <t>Churn năm</t>
        </is>
      </c>
      <c r="B8" s="40">
        <f>'Giả định'!B8</f>
        <v/>
      </c>
      <c r="C8" s="40">
        <f>'Giả định'!C8</f>
        <v/>
      </c>
      <c r="D8" s="40">
        <f>'Giả định'!D8</f>
        <v/>
      </c>
      <c r="E8" s="40">
        <f>'Giả định'!E8</f>
        <v/>
      </c>
      <c r="F8" s="40">
        <f>'Giả định'!F8</f>
        <v/>
      </c>
      <c r="G8" s="14" t="n"/>
    </row>
    <row r="9">
      <c r="A9" s="18" t="inlineStr">
        <is>
          <t>CAC (USD)</t>
        </is>
      </c>
      <c r="B9" s="22" t="n">
        <v>38</v>
      </c>
      <c r="C9" s="22" t="n">
        <v>32</v>
      </c>
      <c r="D9" s="22" t="n">
        <v>28</v>
      </c>
      <c r="E9" s="22" t="n">
        <v>25</v>
      </c>
      <c r="F9" s="22" t="n">
        <v>23</v>
      </c>
      <c r="G9" s="14" t="n"/>
    </row>
    <row r="10">
      <c r="A10" s="18" t="inlineStr">
        <is>
          <t>LTV (USD)</t>
        </is>
      </c>
      <c r="B10" s="22" t="n">
        <v>185</v>
      </c>
      <c r="C10" s="22" t="n">
        <v>245</v>
      </c>
      <c r="D10" s="22" t="n">
        <v>320</v>
      </c>
      <c r="E10" s="22" t="n">
        <v>420</v>
      </c>
      <c r="F10" s="22" t="n">
        <v>510</v>
      </c>
      <c r="G10" s="14" t="n"/>
    </row>
    <row r="11">
      <c r="A11" s="12" t="inlineStr">
        <is>
          <t>Tỷ lệ LTV/CAC</t>
        </is>
      </c>
      <c r="B11" s="41">
        <f>B10/B9</f>
        <v/>
      </c>
      <c r="C11" s="41">
        <f>C10/C9</f>
        <v/>
      </c>
      <c r="D11" s="41">
        <f>D10/D9</f>
        <v/>
      </c>
      <c r="E11" s="41">
        <f>E10/E9</f>
        <v/>
      </c>
      <c r="F11" s="41">
        <f>F10/F9</f>
        <v/>
      </c>
      <c r="G11" s="14" t="n"/>
    </row>
    <row r="12">
      <c r="A12" s="12" t="inlineStr">
        <is>
          <t>Doanh thu (Triệu USD)</t>
        </is>
      </c>
      <c r="B12" s="33">
        <f>'Mô hình Doanh thu'!C12</f>
        <v/>
      </c>
      <c r="C12" s="33">
        <f>'Mô hình Doanh thu'!D12</f>
        <v/>
      </c>
      <c r="D12" s="33">
        <f>'Mô hình Doanh thu'!E12</f>
        <v/>
      </c>
      <c r="E12" s="33">
        <f>'Mô hình Doanh thu'!F12</f>
        <v/>
      </c>
      <c r="F12" s="33">
        <f>'Mô hình Doanh thu'!G12</f>
        <v/>
      </c>
      <c r="G12" s="14" t="n"/>
    </row>
    <row r="13">
      <c r="A13" s="18" t="inlineStr">
        <is>
          <t>Biên gộp %</t>
        </is>
      </c>
      <c r="B13" s="40">
        <f>'Lãi-Lỗ'!B6</f>
        <v/>
      </c>
      <c r="C13" s="40">
        <f>'Lãi-Lỗ'!C6</f>
        <v/>
      </c>
      <c r="D13" s="40">
        <f>'Lãi-Lỗ'!D6</f>
        <v/>
      </c>
      <c r="E13" s="40">
        <f>'Lãi-Lỗ'!E6</f>
        <v/>
      </c>
      <c r="F13" s="40">
        <f>'Lãi-Lỗ'!F6</f>
        <v/>
      </c>
      <c r="G13" s="14" t="n"/>
    </row>
    <row r="14">
      <c r="A14" s="18" t="inlineStr">
        <is>
          <t>Biên EBITDA %</t>
        </is>
      </c>
      <c r="B14" s="40">
        <f>'Lãi-Lỗ'!B12</f>
        <v/>
      </c>
      <c r="C14" s="40">
        <f>'Lãi-Lỗ'!C12</f>
        <v/>
      </c>
      <c r="D14" s="40">
        <f>'Lãi-Lỗ'!D12</f>
        <v/>
      </c>
      <c r="E14" s="40">
        <f>'Lãi-Lỗ'!E12</f>
        <v/>
      </c>
      <c r="F14" s="40">
        <f>'Lãi-Lỗ'!F12</f>
        <v/>
      </c>
      <c r="G14" s="14" t="n"/>
    </row>
    <row r="15">
      <c r="A15" s="18" t="inlineStr">
        <is>
          <t>Runway tiền mặt (tháng)</t>
        </is>
      </c>
      <c r="B15" s="17" t="n">
        <v>24</v>
      </c>
      <c r="C15" s="17" t="n">
        <v>30</v>
      </c>
      <c r="D15" s="17" t="n">
        <v>36</v>
      </c>
      <c r="E15" s="17" t="n">
        <v>42</v>
      </c>
      <c r="F15" s="17" t="n">
        <v>48</v>
      </c>
      <c r="G15" s="14" t="n"/>
    </row>
    <row r="16">
      <c r="A16" s="18" t="inlineStr">
        <is>
          <t>Nhân sự</t>
        </is>
      </c>
      <c r="B16" s="17" t="n">
        <v>8</v>
      </c>
      <c r="C16" s="17" t="n">
        <v>22</v>
      </c>
      <c r="D16" s="17" t="n">
        <v>48</v>
      </c>
      <c r="E16" s="17" t="n">
        <v>95</v>
      </c>
      <c r="F16" s="17" t="n">
        <v>160</v>
      </c>
      <c r="G16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6" t="inlineStr">
        <is>
          <t>Phân tích Định giá</t>
        </is>
      </c>
      <c r="B1" s="11" t="n"/>
      <c r="C1" s="11" t="n"/>
      <c r="D1" s="11" t="n"/>
      <c r="E1" s="11" t="n"/>
      <c r="F1" s="11" t="n"/>
      <c r="G1" s="11" t="n"/>
    </row>
    <row r="2">
      <c r="A2" s="12" t="inlineStr">
        <is>
          <t>Item</t>
        </is>
      </c>
      <c r="B2" s="13" t="n">
        <v>2026</v>
      </c>
      <c r="C2" s="13" t="n">
        <v>2027</v>
      </c>
      <c r="D2" s="13" t="n">
        <v>2028</v>
      </c>
      <c r="E2" s="13" t="n">
        <v>2029</v>
      </c>
      <c r="F2" s="13" t="n">
        <v>2030</v>
      </c>
      <c r="G2" s="14" t="n"/>
    </row>
    <row r="3">
      <c r="A3" s="12" t="inlineStr">
        <is>
          <t>Doanh thu (Triệu USD)</t>
        </is>
      </c>
      <c r="B3" s="33">
        <f>'Mô hình Doanh thu'!C12</f>
        <v/>
      </c>
      <c r="C3" s="33">
        <f>'Mô hình Doanh thu'!D12</f>
        <v/>
      </c>
      <c r="D3" s="33">
        <f>'Mô hình Doanh thu'!E12</f>
        <v/>
      </c>
      <c r="E3" s="33">
        <f>'Mô hình Doanh thu'!F12</f>
        <v/>
      </c>
      <c r="F3" s="33">
        <f>'Mô hình Doanh thu'!G12</f>
        <v/>
      </c>
      <c r="G3" s="14" t="n"/>
    </row>
    <row r="4">
      <c r="A4" s="18" t="inlineStr">
        <is>
          <t>Hệ số doanh thu</t>
        </is>
      </c>
      <c r="B4" s="42">
        <f>'Giả định'!B43</f>
        <v/>
      </c>
      <c r="C4" s="42">
        <f>'Giả định'!C43</f>
        <v/>
      </c>
      <c r="D4" s="42">
        <f>'Giả định'!D43</f>
        <v/>
      </c>
      <c r="E4" s="42">
        <f>'Giả định'!E43</f>
        <v/>
      </c>
      <c r="F4" s="42">
        <f>'Giả định'!F43</f>
        <v/>
      </c>
      <c r="G4" s="14" t="n"/>
    </row>
    <row r="5">
      <c r="A5" s="18" t="inlineStr">
        <is>
          <t>Định giá Thấp (Triệu USD)</t>
        </is>
      </c>
      <c r="B5" s="37">
        <f>B3*B4*0.78</f>
        <v/>
      </c>
      <c r="C5" s="37">
        <f>C3*C4*0.78</f>
        <v/>
      </c>
      <c r="D5" s="37">
        <f>D3*D4*0.78</f>
        <v/>
      </c>
      <c r="E5" s="37">
        <f>E3*E4*0.78</f>
        <v/>
      </c>
      <c r="F5" s="37">
        <f>F3*F4*0.78</f>
        <v/>
      </c>
      <c r="G5" s="14" t="n"/>
    </row>
    <row r="6">
      <c r="A6" s="34" t="inlineStr">
        <is>
          <t>Định giá Trung (Triệu USD)</t>
        </is>
      </c>
      <c r="B6" s="35">
        <f>B3*B4</f>
        <v/>
      </c>
      <c r="C6" s="35">
        <f>C3*C4</f>
        <v/>
      </c>
      <c r="D6" s="35">
        <f>D3*D4</f>
        <v/>
      </c>
      <c r="E6" s="35">
        <f>E3*E4</f>
        <v/>
      </c>
      <c r="F6" s="35">
        <f>F3*F4</f>
        <v/>
      </c>
      <c r="G6" s="14" t="n"/>
    </row>
    <row r="7">
      <c r="A7" s="18" t="inlineStr">
        <is>
          <t>Định giá Cao (Triệu USD)</t>
        </is>
      </c>
      <c r="B7" s="37">
        <f>B3*B4*1.20</f>
        <v/>
      </c>
      <c r="C7" s="37">
        <f>C3*C4*1.20</f>
        <v/>
      </c>
      <c r="D7" s="37">
        <f>D3*D4*1.20</f>
        <v/>
      </c>
      <c r="E7" s="37">
        <f>E3*E4*1.20</f>
        <v/>
      </c>
      <c r="F7" s="37">
        <f>F3*F4*1.20</f>
        <v/>
      </c>
      <c r="G7" s="14" t="n"/>
    </row>
    <row r="8">
      <c r="A8" s="18" t="inlineStr">
        <is>
          <t>EBITDA (Triệu USD)</t>
        </is>
      </c>
      <c r="B8" s="33">
        <f>'Lãi-Lỗ'!B11</f>
        <v/>
      </c>
      <c r="C8" s="33">
        <f>'Lãi-Lỗ'!C11</f>
        <v/>
      </c>
      <c r="D8" s="33">
        <f>'Lãi-Lỗ'!D11</f>
        <v/>
      </c>
      <c r="E8" s="33">
        <f>'Lãi-Lỗ'!E11</f>
        <v/>
      </c>
      <c r="F8" s="33">
        <f>'Lãi-Lỗ'!F11</f>
        <v/>
      </c>
      <c r="G8" s="14" t="n"/>
    </row>
    <row r="9">
      <c r="A9" s="18" t="inlineStr">
        <is>
          <t>Hệ số EBITDA</t>
        </is>
      </c>
      <c r="B9" s="42">
        <f>'Giả định'!B44</f>
        <v/>
      </c>
      <c r="C9" s="42">
        <f>'Giả định'!C44</f>
        <v/>
      </c>
      <c r="D9" s="42">
        <f>'Giả định'!D44</f>
        <v/>
      </c>
      <c r="E9" s="42">
        <f>'Giả định'!E44</f>
        <v/>
      </c>
      <c r="F9" s="42">
        <f>'Giả định'!F44</f>
        <v/>
      </c>
      <c r="G9" s="14" t="n"/>
    </row>
    <row r="10">
      <c r="A10" s="18" t="inlineStr">
        <is>
          <t>Định giá theo EBITDA (Triệu USD)</t>
        </is>
      </c>
      <c r="B10" s="37">
        <f>IF(B8&lt;=0,0,B8*B9)</f>
        <v/>
      </c>
      <c r="C10" s="37">
        <f>IF(C8&lt;=0,0,C8*C9)</f>
        <v/>
      </c>
      <c r="D10" s="37">
        <f>IF(D8&lt;=0,0,D8*D9)</f>
        <v/>
      </c>
      <c r="E10" s="37">
        <f>IF(E8&lt;=0,0,E8*E9)</f>
        <v/>
      </c>
      <c r="F10" s="37">
        <f>IF(F8&lt;=0,0,F8*F9)</f>
        <v/>
      </c>
      <c r="G10" s="14" t="n"/>
    </row>
    <row r="11">
      <c r="A11" s="18" t="inlineStr">
        <is>
          <t>DCF giá trị cuối kỳ (Triệu USD)</t>
        </is>
      </c>
      <c r="B11" s="37" t="inlineStr">
        <is>
          <t>"-"</t>
        </is>
      </c>
      <c r="C11" s="37" t="inlineStr">
        <is>
          <t>"-"</t>
        </is>
      </c>
      <c r="D11" s="37" t="inlineStr">
        <is>
          <t>"-"</t>
        </is>
      </c>
      <c r="E11" s="37" t="inlineStr">
        <is>
          <t>"-"</t>
        </is>
      </c>
      <c r="F11" s="37">
        <f>'Lãi-Lỗ'!F17*1.04/('Giả định'!B42-0.04)</f>
        <v/>
      </c>
      <c r="G11" s="1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36" t="inlineStr">
        <is>
          <t>Phân tích Nhạy cảm / Kịch bản</t>
        </is>
      </c>
      <c r="B1" s="11" t="n"/>
      <c r="C1" s="11" t="n"/>
      <c r="D1" s="11" t="n"/>
    </row>
    <row r="2">
      <c r="A2" s="12" t="inlineStr">
        <is>
          <t>Kịch bản</t>
        </is>
      </c>
      <c r="B2" s="43" t="inlineStr">
        <is>
          <t>Bi quan</t>
        </is>
      </c>
      <c r="C2" s="43" t="inlineStr">
        <is>
          <t>Cơ bản</t>
        </is>
      </c>
      <c r="D2" s="43" t="inlineStr">
        <is>
          <t>Lạc quan</t>
        </is>
      </c>
    </row>
    <row r="3">
      <c r="A3" s="12" t="inlineStr">
        <is>
          <t>Y3 Revenue (USD M)</t>
        </is>
      </c>
      <c r="B3" s="25" t="n">
        <v>6</v>
      </c>
      <c r="C3" s="25" t="n">
        <v>14.5</v>
      </c>
      <c r="D3" s="25" t="n">
        <v>22</v>
      </c>
    </row>
    <row r="4">
      <c r="A4" s="12" t="inlineStr">
        <is>
          <t>Y5 Revenue (USD M)</t>
        </is>
      </c>
      <c r="B4" s="25" t="n">
        <v>35</v>
      </c>
      <c r="C4" s="25" t="n">
        <v>98</v>
      </c>
      <c r="D4" s="25" t="n">
        <v>165</v>
      </c>
    </row>
    <row r="5">
      <c r="A5" s="12" t="inlineStr">
        <is>
          <t>Y5 EBITDA margin</t>
        </is>
      </c>
      <c r="B5" s="21" t="n">
        <v>0.1</v>
      </c>
      <c r="C5" s="21" t="n">
        <v>0.22</v>
      </c>
      <c r="D5" s="21" t="n">
        <v>0.32</v>
      </c>
    </row>
    <row r="6">
      <c r="A6" s="12" t="inlineStr">
        <is>
          <t>Y5 Valuation mid (USD M)</t>
        </is>
      </c>
      <c r="B6" s="25" t="n">
        <v>175</v>
      </c>
      <c r="C6" s="25" t="n">
        <v>615</v>
      </c>
      <c r="D6" s="25" t="n">
        <v>1150</v>
      </c>
    </row>
    <row r="7">
      <c r="A7" s="12" t="inlineStr">
        <is>
          <t>Investor share @ 21.4% pre-dilution</t>
        </is>
      </c>
      <c r="B7" s="25" t="n">
        <v>37.5</v>
      </c>
      <c r="C7" s="25" t="n">
        <v>131.6</v>
      </c>
      <c r="D7" s="25" t="n">
        <v>246.1</v>
      </c>
    </row>
    <row r="8">
      <c r="A8" s="12" t="inlineStr">
        <is>
          <t>MOIC (pre-dilution)</t>
        </is>
      </c>
      <c r="B8" s="29" t="n">
        <v>12.5</v>
      </c>
      <c r="C8" s="29" t="n">
        <v>43.9</v>
      </c>
      <c r="D8" s="29" t="n">
        <v>82</v>
      </c>
    </row>
    <row r="9">
      <c r="A9" s="12" t="inlineStr">
        <is>
          <t>MOIC (post 30% dilution)</t>
        </is>
      </c>
      <c r="B9" s="29" t="n">
        <v>8.75</v>
      </c>
      <c r="C9" s="29" t="n">
        <v>30.73</v>
      </c>
      <c r="D9" s="29" t="n">
        <v>57.4</v>
      </c>
    </row>
    <row r="10">
      <c r="A10" s="12" t="inlineStr">
        <is>
          <t>IRR (5Y)</t>
        </is>
      </c>
      <c r="B10" s="21" t="n">
        <v>0.54</v>
      </c>
      <c r="C10" s="21" t="n">
        <v>1.16</v>
      </c>
      <c r="D10" s="21" t="n">
        <v>1.55</v>
      </c>
    </row>
    <row r="11">
      <c r="A11" s="14" t="n"/>
      <c r="B11" s="14" t="n"/>
      <c r="C11" s="14" t="n"/>
      <c r="D11" s="14" t="n"/>
    </row>
    <row r="12">
      <c r="A12" s="14" t="n"/>
      <c r="B12" s="14" t="n"/>
      <c r="C12" s="14" t="n"/>
      <c r="D12" s="14" t="n"/>
    </row>
    <row r="13">
      <c r="A13" s="30" t="inlineStr">
        <is>
          <t>Ghi chú</t>
        </is>
      </c>
      <c r="B13" s="14" t="n"/>
      <c r="C13" s="14" t="n"/>
      <c r="D13" s="14" t="n"/>
    </row>
    <row r="14">
      <c r="A14" s="30" t="inlineStr">
        <is>
          <t>Bi quan</t>
        </is>
      </c>
      <c r="B14" s="31" t="inlineStr">
        <is>
          <t>Áp dụng chậm, chỉ VN, không mở rộng SEA</t>
        </is>
      </c>
      <c r="C14" s="14" t="n"/>
      <c r="D14" s="14" t="n"/>
    </row>
    <row r="15">
      <c r="A15" s="30" t="inlineStr">
        <is>
          <t>Cơ bản</t>
        </is>
      </c>
      <c r="B15" s="31" t="inlineStr">
        <is>
          <t>Thực thi đúng kế hoạch roadmap</t>
        </is>
      </c>
      <c r="C15" s="14" t="n"/>
      <c r="D15" s="14" t="n"/>
    </row>
    <row r="16">
      <c r="A16" s="30" t="inlineStr">
        <is>
          <t>Lạc quan</t>
        </is>
      </c>
      <c r="B16" s="31" t="inlineStr">
        <is>
          <t>SEA + B2B tăng tốc, vào tiếng Anh sớm</t>
        </is>
      </c>
      <c r="C16" s="14" t="n"/>
      <c r="D16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2026-05-22T12:10:13Z</dcterms:created>
  <dcterms:modified xmlns:dcterms="http://purl.org/dc/terms/" xmlns:xsi="http://www.w3.org/2001/XMLSchema-instance" xsi:type="dcterms:W3CDTF">2026-05-22T12:10:13Z</dcterms:modified>
</cp:coreProperties>
</file>